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Job Integrado\"/>
    </mc:Choice>
  </mc:AlternateContent>
  <xr:revisionPtr revIDLastSave="0" documentId="13_ncr:1_{57D97B35-B084-484C-95D7-8B8D59BD4A0A}" xr6:coauthVersionLast="47" xr6:coauthVersionMax="47" xr10:uidLastSave="{00000000-0000-0000-0000-000000000000}"/>
  <bookViews>
    <workbookView xWindow="-28920" yWindow="-120" windowWidth="29040" windowHeight="15840" xr2:uid="{79A824DF-2569-405D-9FC7-2222DD81EE3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1" i="1" l="1"/>
  <c r="G110" i="1"/>
  <c r="G109" i="1"/>
  <c r="L109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3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2" i="1"/>
</calcChain>
</file>

<file path=xl/sharedStrings.xml><?xml version="1.0" encoding="utf-8"?>
<sst xmlns="http://schemas.openxmlformats.org/spreadsheetml/2006/main" count="439" uniqueCount="21">
  <si>
    <t>Professores</t>
  </si>
  <si>
    <t>3271591@evo.com</t>
  </si>
  <si>
    <t>C</t>
  </si>
  <si>
    <t>RCG_AUTO</t>
  </si>
  <si>
    <t>D</t>
  </si>
  <si>
    <t>ESTORNO_EM_LOTE (fcEstornoTotalCreditos)</t>
  </si>
  <si>
    <t>ID_CREDITO_CONSOLIDADO</t>
  </si>
  <si>
    <t>ID_CLIENTE</t>
  </si>
  <si>
    <t>NOME_PRINCIPAL</t>
  </si>
  <si>
    <t>EMAIL</t>
  </si>
  <si>
    <t>ID_MATRIZ</t>
  </si>
  <si>
    <t>CREDITO</t>
  </si>
  <si>
    <t>SALDO_FINAL</t>
  </si>
  <si>
    <t>OPERACAO</t>
  </si>
  <si>
    <t>MOTIVO</t>
  </si>
  <si>
    <t>DATA_REGISTRO</t>
  </si>
  <si>
    <t>Consumo</t>
  </si>
  <si>
    <t>SALDO ANT</t>
  </si>
  <si>
    <t>check consumo</t>
  </si>
  <si>
    <t>check saldo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</si>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</sst>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1" fontId="0" fillId="0" borderId="0" xfId="0" applyNumberFormat="1"/>
    <xf numFmtId="1" fontId="1" fillId="0" borderId="0" xfId="0" applyNumberFormat="1" applyFont="1"/>
    <xf numFmtId="0" fontId="0" fillId="2" borderId="0" xfId="0" applyFill="1"/>
    <xf numFmtId="22" fontId="0" fillId="2" borderId="0" xfId="0" applyNumberFormat="1" applyFill="1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C4AA1-1E30-4ABF-A000-E410CC5DD882}">
  <dimension ref="A1:P111"/>
  <sheetViews>
    <sheetView tabSelected="1" topLeftCell="C1" zoomScale="145" zoomScaleNormal="145" workbookViewId="0">
      <pane ySplit="1" topLeftCell="A89" activePane="bottomLeft" state="frozen"/>
      <selection activeCell="C1" sqref="C1"/>
      <selection pane="bottomLeft" activeCell="K107" sqref="K107"/>
    </sheetView>
  </sheetViews>
  <sheetFormatPr defaultRowHeight="15" x14ac:dyDescent="0.25"/>
  <cols>
    <col min="1" max="1" width="25.7109375" bestFit="1" customWidth="1"/>
    <col min="2" max="2" width="12.42578125" customWidth="1"/>
    <col min="3" max="3" width="16.5703125" bestFit="1" customWidth="1"/>
    <col min="4" max="4" width="17.42578125" bestFit="1" customWidth="1"/>
    <col min="5" max="5" width="10.140625" bestFit="1" customWidth="1"/>
    <col min="6" max="6" width="10.7109375" bestFit="1" customWidth="1"/>
    <col min="7" max="7" width="11.140625" bestFit="1" customWidth="1"/>
    <col min="8" max="8" width="12.5703125" bestFit="1" customWidth="1"/>
    <col min="9" max="9" width="10.5703125" bestFit="1" customWidth="1"/>
    <col min="10" max="10" width="40.85546875" bestFit="1" customWidth="1"/>
    <col min="11" max="11" width="17.140625" customWidth="1"/>
    <col min="12" max="12" width="15.5703125" style="2" customWidth="1"/>
    <col min="15" max="15" width="15" bestFit="1" customWidth="1"/>
    <col min="16" max="16" width="12.140625" bestFit="1" customWidth="1"/>
  </cols>
  <sheetData>
    <row r="1" spans="1:16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17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s="2" t="s">
        <v>16</v>
      </c>
      <c r="M1" t="s">
        <v>20</v>
      </c>
      <c r="O1" t="s">
        <v>18</v>
      </c>
      <c r="P1" t="s">
        <v>19</v>
      </c>
    </row>
    <row r="2" spans="1:16" x14ac:dyDescent="0.25">
      <c r="A2">
        <v>3091029</v>
      </c>
      <c r="B2">
        <v>900506</v>
      </c>
      <c r="C2" t="s">
        <v>0</v>
      </c>
      <c r="D2" t="s">
        <v>1</v>
      </c>
      <c r="E2">
        <v>877550</v>
      </c>
      <c r="F2">
        <v>0</v>
      </c>
      <c r="G2">
        <v>100</v>
      </c>
      <c r="H2">
        <v>100</v>
      </c>
      <c r="I2" t="s">
        <v>2</v>
      </c>
      <c r="J2" t="s">
        <v>3</v>
      </c>
      <c r="K2" s="1">
        <v>44798.677673611113</v>
      </c>
      <c r="L2" s="2">
        <v>89</v>
      </c>
      <c r="M2" s="2">
        <f>H2-L2</f>
        <v>11</v>
      </c>
      <c r="O2" t="b">
        <f>L2&lt;=H2</f>
        <v>1</v>
      </c>
    </row>
    <row r="3" spans="1:16" x14ac:dyDescent="0.25">
      <c r="A3">
        <v>3091531</v>
      </c>
      <c r="B3">
        <v>900506</v>
      </c>
      <c r="C3" t="s">
        <v>0</v>
      </c>
      <c r="D3" t="s">
        <v>1</v>
      </c>
      <c r="E3">
        <v>877550</v>
      </c>
      <c r="F3">
        <v>11</v>
      </c>
      <c r="G3">
        <v>100</v>
      </c>
      <c r="H3">
        <v>111</v>
      </c>
      <c r="I3" t="s">
        <v>2</v>
      </c>
      <c r="J3" t="s">
        <v>3</v>
      </c>
      <c r="K3" s="1">
        <v>44801.932141203702</v>
      </c>
      <c r="L3" s="2">
        <v>39</v>
      </c>
      <c r="M3" s="2">
        <f t="shared" ref="M3:M66" si="0">H3-L3</f>
        <v>72</v>
      </c>
      <c r="N3">
        <v>11</v>
      </c>
      <c r="O3" t="b">
        <f t="shared" ref="O3:O66" si="1">L3&lt;=H3</f>
        <v>1</v>
      </c>
      <c r="P3" t="b">
        <f>N3=F3</f>
        <v>1</v>
      </c>
    </row>
    <row r="4" spans="1:16" x14ac:dyDescent="0.25">
      <c r="A4">
        <v>3101879</v>
      </c>
      <c r="B4">
        <v>900506</v>
      </c>
      <c r="C4" t="s">
        <v>0</v>
      </c>
      <c r="D4" t="s">
        <v>1</v>
      </c>
      <c r="E4">
        <v>877550</v>
      </c>
      <c r="F4">
        <v>72</v>
      </c>
      <c r="G4">
        <v>72</v>
      </c>
      <c r="H4">
        <v>0</v>
      </c>
      <c r="I4" t="s">
        <v>4</v>
      </c>
      <c r="J4" t="s">
        <v>5</v>
      </c>
      <c r="K4" s="1">
        <v>44810.523912037039</v>
      </c>
      <c r="L4" s="2">
        <v>0</v>
      </c>
      <c r="M4" s="2">
        <f t="shared" si="0"/>
        <v>0</v>
      </c>
      <c r="N4">
        <v>72</v>
      </c>
      <c r="O4" t="b">
        <f t="shared" si="1"/>
        <v>1</v>
      </c>
      <c r="P4" t="b">
        <f t="shared" ref="P4:P67" si="2">N4=F4</f>
        <v>1</v>
      </c>
    </row>
    <row r="5" spans="1:16" x14ac:dyDescent="0.25">
      <c r="A5">
        <v>3102150</v>
      </c>
      <c r="B5">
        <v>900506</v>
      </c>
      <c r="C5" t="s">
        <v>0</v>
      </c>
      <c r="D5" t="s">
        <v>1</v>
      </c>
      <c r="E5">
        <v>877550</v>
      </c>
      <c r="F5">
        <v>0</v>
      </c>
      <c r="G5">
        <v>50</v>
      </c>
      <c r="H5">
        <v>50</v>
      </c>
      <c r="I5" t="s">
        <v>2</v>
      </c>
      <c r="J5" t="s">
        <v>3</v>
      </c>
      <c r="K5" s="1">
        <v>44810.807986111111</v>
      </c>
      <c r="L5" s="2">
        <v>48</v>
      </c>
      <c r="M5" s="2">
        <f t="shared" si="0"/>
        <v>2</v>
      </c>
      <c r="N5">
        <v>0</v>
      </c>
      <c r="O5" t="b">
        <f t="shared" si="1"/>
        <v>1</v>
      </c>
      <c r="P5" t="b">
        <f t="shared" si="2"/>
        <v>1</v>
      </c>
    </row>
    <row r="6" spans="1:16" x14ac:dyDescent="0.25">
      <c r="A6">
        <v>3110916</v>
      </c>
      <c r="B6">
        <v>900506</v>
      </c>
      <c r="C6" t="s">
        <v>0</v>
      </c>
      <c r="D6" t="s">
        <v>1</v>
      </c>
      <c r="E6">
        <v>877550</v>
      </c>
      <c r="F6">
        <v>2</v>
      </c>
      <c r="G6">
        <v>30</v>
      </c>
      <c r="H6">
        <v>32</v>
      </c>
      <c r="I6" t="s">
        <v>2</v>
      </c>
      <c r="J6" t="s">
        <v>3</v>
      </c>
      <c r="K6" s="1">
        <v>44831.463564814818</v>
      </c>
      <c r="L6" s="2">
        <v>15</v>
      </c>
      <c r="M6" s="2">
        <f t="shared" si="0"/>
        <v>17</v>
      </c>
      <c r="N6">
        <v>2</v>
      </c>
      <c r="O6" t="b">
        <f t="shared" si="1"/>
        <v>1</v>
      </c>
      <c r="P6" t="b">
        <f t="shared" si="2"/>
        <v>1</v>
      </c>
    </row>
    <row r="7" spans="1:16" x14ac:dyDescent="0.25">
      <c r="A7">
        <v>3122764</v>
      </c>
      <c r="B7">
        <v>900506</v>
      </c>
      <c r="C7" t="s">
        <v>0</v>
      </c>
      <c r="D7" t="s">
        <v>1</v>
      </c>
      <c r="E7">
        <v>877550</v>
      </c>
      <c r="F7">
        <v>17</v>
      </c>
      <c r="G7">
        <v>17</v>
      </c>
      <c r="H7">
        <v>0</v>
      </c>
      <c r="I7" t="s">
        <v>4</v>
      </c>
      <c r="J7" t="s">
        <v>5</v>
      </c>
      <c r="K7" s="1">
        <v>44844.721759259257</v>
      </c>
      <c r="L7" s="2">
        <v>0</v>
      </c>
      <c r="M7" s="2">
        <f t="shared" si="0"/>
        <v>0</v>
      </c>
      <c r="N7">
        <v>17</v>
      </c>
      <c r="O7" t="b">
        <f t="shared" si="1"/>
        <v>1</v>
      </c>
      <c r="P7" t="b">
        <f t="shared" si="2"/>
        <v>1</v>
      </c>
    </row>
    <row r="8" spans="1:16" x14ac:dyDescent="0.25">
      <c r="A8">
        <v>3123017</v>
      </c>
      <c r="B8">
        <v>900506</v>
      </c>
      <c r="C8" t="s">
        <v>0</v>
      </c>
      <c r="D8" t="s">
        <v>1</v>
      </c>
      <c r="E8">
        <v>877550</v>
      </c>
      <c r="F8">
        <v>0</v>
      </c>
      <c r="G8">
        <v>30</v>
      </c>
      <c r="H8">
        <v>30</v>
      </c>
      <c r="I8" t="s">
        <v>2</v>
      </c>
      <c r="J8" t="s">
        <v>3</v>
      </c>
      <c r="K8" s="1">
        <v>44844.925567129627</v>
      </c>
      <c r="L8" s="2">
        <v>30</v>
      </c>
      <c r="M8" s="2">
        <f t="shared" si="0"/>
        <v>0</v>
      </c>
      <c r="N8">
        <v>0</v>
      </c>
      <c r="O8" t="b">
        <f t="shared" si="1"/>
        <v>1</v>
      </c>
      <c r="P8" t="b">
        <f t="shared" si="2"/>
        <v>1</v>
      </c>
    </row>
    <row r="9" spans="1:16" x14ac:dyDescent="0.25">
      <c r="A9">
        <v>3123382</v>
      </c>
      <c r="B9">
        <v>900506</v>
      </c>
      <c r="C9" t="s">
        <v>0</v>
      </c>
      <c r="D9" t="s">
        <v>1</v>
      </c>
      <c r="E9">
        <v>877550</v>
      </c>
      <c r="F9">
        <v>0</v>
      </c>
      <c r="G9">
        <v>30</v>
      </c>
      <c r="H9">
        <v>30</v>
      </c>
      <c r="I9" t="s">
        <v>2</v>
      </c>
      <c r="J9" t="s">
        <v>3</v>
      </c>
      <c r="K9" s="1">
        <v>44845.696608796294</v>
      </c>
      <c r="L9" s="2">
        <v>30</v>
      </c>
      <c r="M9" s="2">
        <f t="shared" si="0"/>
        <v>0</v>
      </c>
      <c r="N9">
        <v>0</v>
      </c>
      <c r="O9" t="b">
        <f t="shared" si="1"/>
        <v>1</v>
      </c>
      <c r="P9" t="b">
        <f t="shared" si="2"/>
        <v>1</v>
      </c>
    </row>
    <row r="10" spans="1:16" x14ac:dyDescent="0.25">
      <c r="A10">
        <v>3124199</v>
      </c>
      <c r="B10">
        <v>900506</v>
      </c>
      <c r="C10" t="s">
        <v>0</v>
      </c>
      <c r="D10" t="s">
        <v>1</v>
      </c>
      <c r="E10">
        <v>877550</v>
      </c>
      <c r="F10">
        <v>0</v>
      </c>
      <c r="G10">
        <v>30</v>
      </c>
      <c r="H10">
        <v>30</v>
      </c>
      <c r="I10" t="s">
        <v>2</v>
      </c>
      <c r="J10" t="s">
        <v>3</v>
      </c>
      <c r="K10" s="1">
        <v>44848.695648148147</v>
      </c>
      <c r="L10" s="2">
        <v>27</v>
      </c>
      <c r="M10" s="2">
        <f t="shared" si="0"/>
        <v>3</v>
      </c>
      <c r="N10">
        <v>0</v>
      </c>
      <c r="O10" t="b">
        <f t="shared" si="1"/>
        <v>1</v>
      </c>
      <c r="P10" t="b">
        <f t="shared" si="2"/>
        <v>1</v>
      </c>
    </row>
    <row r="11" spans="1:16" x14ac:dyDescent="0.25">
      <c r="A11">
        <v>3127162</v>
      </c>
      <c r="B11">
        <v>900506</v>
      </c>
      <c r="C11" t="s">
        <v>0</v>
      </c>
      <c r="D11" t="s">
        <v>1</v>
      </c>
      <c r="E11">
        <v>877550</v>
      </c>
      <c r="F11">
        <v>3</v>
      </c>
      <c r="G11">
        <v>30</v>
      </c>
      <c r="H11">
        <v>33</v>
      </c>
      <c r="I11" t="s">
        <v>2</v>
      </c>
      <c r="J11" t="s">
        <v>3</v>
      </c>
      <c r="K11" s="1">
        <v>44855.891157407408</v>
      </c>
      <c r="L11" s="2">
        <v>12</v>
      </c>
      <c r="M11" s="2">
        <f t="shared" si="0"/>
        <v>21</v>
      </c>
      <c r="N11">
        <v>3</v>
      </c>
      <c r="O11" t="b">
        <f t="shared" si="1"/>
        <v>1</v>
      </c>
      <c r="P11" t="b">
        <f t="shared" si="2"/>
        <v>1</v>
      </c>
    </row>
    <row r="12" spans="1:16" x14ac:dyDescent="0.25">
      <c r="A12">
        <v>3129055</v>
      </c>
      <c r="B12">
        <v>900506</v>
      </c>
      <c r="C12" t="s">
        <v>0</v>
      </c>
      <c r="D12" t="s">
        <v>1</v>
      </c>
      <c r="E12">
        <v>877550</v>
      </c>
      <c r="F12">
        <v>21</v>
      </c>
      <c r="G12">
        <v>21</v>
      </c>
      <c r="H12">
        <v>0</v>
      </c>
      <c r="I12" t="s">
        <v>4</v>
      </c>
      <c r="J12" t="s">
        <v>5</v>
      </c>
      <c r="K12" s="1">
        <v>44860.742280092592</v>
      </c>
      <c r="L12" s="2">
        <v>0</v>
      </c>
      <c r="M12" s="2">
        <f t="shared" si="0"/>
        <v>0</v>
      </c>
      <c r="N12">
        <v>21</v>
      </c>
      <c r="O12" t="b">
        <f t="shared" si="1"/>
        <v>1</v>
      </c>
      <c r="P12" t="b">
        <f t="shared" si="2"/>
        <v>1</v>
      </c>
    </row>
    <row r="13" spans="1:16" x14ac:dyDescent="0.25">
      <c r="A13">
        <v>3129464</v>
      </c>
      <c r="B13">
        <v>900506</v>
      </c>
      <c r="C13" t="s">
        <v>0</v>
      </c>
      <c r="D13" t="s">
        <v>1</v>
      </c>
      <c r="E13">
        <v>877550</v>
      </c>
      <c r="F13">
        <v>0</v>
      </c>
      <c r="G13">
        <v>30</v>
      </c>
      <c r="H13">
        <v>30</v>
      </c>
      <c r="I13" t="s">
        <v>2</v>
      </c>
      <c r="J13" t="s">
        <v>3</v>
      </c>
      <c r="K13" s="1">
        <v>44861.741886574076</v>
      </c>
      <c r="L13" s="2">
        <v>10</v>
      </c>
      <c r="M13" s="2">
        <f t="shared" si="0"/>
        <v>20</v>
      </c>
      <c r="N13">
        <v>0</v>
      </c>
      <c r="O13" t="b">
        <f t="shared" si="1"/>
        <v>1</v>
      </c>
      <c r="P13" t="b">
        <f t="shared" si="2"/>
        <v>1</v>
      </c>
    </row>
    <row r="14" spans="1:16" x14ac:dyDescent="0.25">
      <c r="A14">
        <v>3129738</v>
      </c>
      <c r="B14">
        <v>900506</v>
      </c>
      <c r="C14" t="s">
        <v>0</v>
      </c>
      <c r="D14" t="s">
        <v>1</v>
      </c>
      <c r="E14">
        <v>877550</v>
      </c>
      <c r="F14">
        <v>20</v>
      </c>
      <c r="G14">
        <v>20</v>
      </c>
      <c r="H14">
        <v>0</v>
      </c>
      <c r="I14" t="s">
        <v>4</v>
      </c>
      <c r="J14" t="s">
        <v>5</v>
      </c>
      <c r="K14" s="1">
        <v>44862.755127314813</v>
      </c>
      <c r="L14" s="2">
        <v>0</v>
      </c>
      <c r="M14" s="2">
        <f t="shared" si="0"/>
        <v>0</v>
      </c>
      <c r="N14">
        <v>20</v>
      </c>
      <c r="O14" t="b">
        <f t="shared" si="1"/>
        <v>1</v>
      </c>
      <c r="P14" t="b">
        <f t="shared" si="2"/>
        <v>1</v>
      </c>
    </row>
    <row r="15" spans="1:16" x14ac:dyDescent="0.25">
      <c r="A15">
        <v>3129825</v>
      </c>
      <c r="B15">
        <v>900506</v>
      </c>
      <c r="C15" t="s">
        <v>0</v>
      </c>
      <c r="D15" t="s">
        <v>1</v>
      </c>
      <c r="E15">
        <v>877550</v>
      </c>
      <c r="F15">
        <v>0</v>
      </c>
      <c r="G15">
        <v>30</v>
      </c>
      <c r="H15">
        <v>30</v>
      </c>
      <c r="I15" t="s">
        <v>2</v>
      </c>
      <c r="J15" t="s">
        <v>3</v>
      </c>
      <c r="K15" s="1">
        <v>44863.533784722225</v>
      </c>
      <c r="L15" s="2">
        <v>30</v>
      </c>
      <c r="M15" s="2">
        <f t="shared" si="0"/>
        <v>0</v>
      </c>
      <c r="N15">
        <v>0</v>
      </c>
      <c r="O15" t="b">
        <f t="shared" si="1"/>
        <v>1</v>
      </c>
      <c r="P15" t="b">
        <f t="shared" si="2"/>
        <v>1</v>
      </c>
    </row>
    <row r="16" spans="1:16" x14ac:dyDescent="0.25">
      <c r="A16">
        <v>3129906</v>
      </c>
      <c r="B16">
        <v>900506</v>
      </c>
      <c r="C16" t="s">
        <v>0</v>
      </c>
      <c r="D16" t="s">
        <v>1</v>
      </c>
      <c r="E16">
        <v>877550</v>
      </c>
      <c r="F16">
        <v>0</v>
      </c>
      <c r="G16">
        <v>30</v>
      </c>
      <c r="H16">
        <v>30</v>
      </c>
      <c r="I16" t="s">
        <v>2</v>
      </c>
      <c r="J16" t="s">
        <v>3</v>
      </c>
      <c r="K16" s="1">
        <v>44864.467245370368</v>
      </c>
      <c r="L16" s="2">
        <v>30</v>
      </c>
      <c r="M16" s="2">
        <f t="shared" si="0"/>
        <v>0</v>
      </c>
      <c r="N16">
        <v>0</v>
      </c>
      <c r="O16" t="b">
        <f t="shared" si="1"/>
        <v>1</v>
      </c>
      <c r="P16" t="b">
        <f t="shared" si="2"/>
        <v>1</v>
      </c>
    </row>
    <row r="17" spans="1:16" x14ac:dyDescent="0.25">
      <c r="A17">
        <v>3130490</v>
      </c>
      <c r="B17">
        <v>900506</v>
      </c>
      <c r="C17" t="s">
        <v>0</v>
      </c>
      <c r="D17" t="s">
        <v>1</v>
      </c>
      <c r="E17">
        <v>877550</v>
      </c>
      <c r="F17">
        <v>0</v>
      </c>
      <c r="G17">
        <v>30</v>
      </c>
      <c r="H17">
        <v>30</v>
      </c>
      <c r="I17" t="s">
        <v>2</v>
      </c>
      <c r="J17" t="s">
        <v>3</v>
      </c>
      <c r="K17" s="1">
        <v>44865.456909722219</v>
      </c>
      <c r="L17" s="2">
        <v>13</v>
      </c>
      <c r="M17" s="2">
        <f t="shared" si="0"/>
        <v>17</v>
      </c>
      <c r="N17">
        <v>0</v>
      </c>
      <c r="O17" t="b">
        <f t="shared" si="1"/>
        <v>1</v>
      </c>
      <c r="P17" t="b">
        <f t="shared" si="2"/>
        <v>1</v>
      </c>
    </row>
    <row r="18" spans="1:16" x14ac:dyDescent="0.25">
      <c r="A18">
        <v>3137410</v>
      </c>
      <c r="B18">
        <v>900506</v>
      </c>
      <c r="C18" t="s">
        <v>0</v>
      </c>
      <c r="D18" t="s">
        <v>1</v>
      </c>
      <c r="E18">
        <v>877550</v>
      </c>
      <c r="F18">
        <v>17</v>
      </c>
      <c r="G18">
        <v>17</v>
      </c>
      <c r="H18">
        <v>0</v>
      </c>
      <c r="I18" t="s">
        <v>4</v>
      </c>
      <c r="J18" t="s">
        <v>5</v>
      </c>
      <c r="K18" s="1">
        <v>44867.699745370373</v>
      </c>
      <c r="L18" s="2">
        <v>0</v>
      </c>
      <c r="M18" s="2">
        <f t="shared" si="0"/>
        <v>0</v>
      </c>
      <c r="N18">
        <v>17</v>
      </c>
      <c r="O18" t="b">
        <f t="shared" si="1"/>
        <v>1</v>
      </c>
      <c r="P18" t="b">
        <f t="shared" si="2"/>
        <v>1</v>
      </c>
    </row>
    <row r="19" spans="1:16" x14ac:dyDescent="0.25">
      <c r="A19">
        <v>3138658</v>
      </c>
      <c r="B19">
        <v>900506</v>
      </c>
      <c r="C19" t="s">
        <v>0</v>
      </c>
      <c r="D19" t="s">
        <v>1</v>
      </c>
      <c r="E19">
        <v>877550</v>
      </c>
      <c r="F19">
        <v>0</v>
      </c>
      <c r="G19">
        <v>30</v>
      </c>
      <c r="H19">
        <v>30</v>
      </c>
      <c r="I19" t="s">
        <v>2</v>
      </c>
      <c r="J19" t="s">
        <v>3</v>
      </c>
      <c r="K19" s="1">
        <v>44868.852025462962</v>
      </c>
      <c r="L19" s="2">
        <v>9</v>
      </c>
      <c r="M19" s="2">
        <f t="shared" si="0"/>
        <v>21</v>
      </c>
      <c r="N19">
        <v>0</v>
      </c>
      <c r="O19" t="b">
        <f t="shared" si="1"/>
        <v>1</v>
      </c>
      <c r="P19" t="b">
        <f t="shared" si="2"/>
        <v>1</v>
      </c>
    </row>
    <row r="20" spans="1:16" x14ac:dyDescent="0.25">
      <c r="A20">
        <v>3139215</v>
      </c>
      <c r="B20">
        <v>900506</v>
      </c>
      <c r="C20" t="s">
        <v>0</v>
      </c>
      <c r="D20" t="s">
        <v>1</v>
      </c>
      <c r="E20">
        <v>877550</v>
      </c>
      <c r="F20">
        <v>21</v>
      </c>
      <c r="G20">
        <v>21</v>
      </c>
      <c r="H20">
        <v>0</v>
      </c>
      <c r="I20" t="s">
        <v>4</v>
      </c>
      <c r="J20" t="s">
        <v>5</v>
      </c>
      <c r="K20" s="1">
        <v>44869.715370370373</v>
      </c>
      <c r="L20" s="2">
        <v>0</v>
      </c>
      <c r="M20" s="2">
        <f t="shared" si="0"/>
        <v>0</v>
      </c>
      <c r="N20">
        <v>21</v>
      </c>
      <c r="O20" t="b">
        <f t="shared" si="1"/>
        <v>1</v>
      </c>
      <c r="P20" t="b">
        <f t="shared" si="2"/>
        <v>1</v>
      </c>
    </row>
    <row r="21" spans="1:16" x14ac:dyDescent="0.25">
      <c r="A21">
        <v>3142399</v>
      </c>
      <c r="B21">
        <v>900506</v>
      </c>
      <c r="C21" t="s">
        <v>0</v>
      </c>
      <c r="D21" t="s">
        <v>1</v>
      </c>
      <c r="E21">
        <v>877550</v>
      </c>
      <c r="F21">
        <v>0</v>
      </c>
      <c r="G21">
        <v>30</v>
      </c>
      <c r="H21">
        <v>30</v>
      </c>
      <c r="I21" t="s">
        <v>2</v>
      </c>
      <c r="J21" t="s">
        <v>3</v>
      </c>
      <c r="K21" s="1">
        <v>44875.628900462965</v>
      </c>
      <c r="L21" s="2">
        <v>29</v>
      </c>
      <c r="M21" s="2">
        <f t="shared" si="0"/>
        <v>1</v>
      </c>
      <c r="N21">
        <v>0</v>
      </c>
      <c r="O21" t="b">
        <f t="shared" si="1"/>
        <v>1</v>
      </c>
      <c r="P21" t="b">
        <f t="shared" si="2"/>
        <v>1</v>
      </c>
    </row>
    <row r="22" spans="1:16" x14ac:dyDescent="0.25">
      <c r="A22">
        <v>3143664</v>
      </c>
      <c r="B22">
        <v>900506</v>
      </c>
      <c r="C22" t="s">
        <v>0</v>
      </c>
      <c r="D22" t="s">
        <v>1</v>
      </c>
      <c r="E22">
        <v>877550</v>
      </c>
      <c r="F22">
        <v>1</v>
      </c>
      <c r="G22">
        <v>30</v>
      </c>
      <c r="H22">
        <v>31</v>
      </c>
      <c r="I22" t="s">
        <v>2</v>
      </c>
      <c r="J22" t="s">
        <v>3</v>
      </c>
      <c r="K22" s="1">
        <v>44879.561122685183</v>
      </c>
      <c r="L22" s="2">
        <v>31</v>
      </c>
      <c r="M22" s="2">
        <f t="shared" si="0"/>
        <v>0</v>
      </c>
      <c r="N22">
        <v>1</v>
      </c>
      <c r="O22" t="b">
        <f t="shared" si="1"/>
        <v>1</v>
      </c>
      <c r="P22" t="b">
        <f t="shared" si="2"/>
        <v>1</v>
      </c>
    </row>
    <row r="23" spans="1:16" x14ac:dyDescent="0.25">
      <c r="A23">
        <v>3143895</v>
      </c>
      <c r="B23">
        <v>900506</v>
      </c>
      <c r="C23" t="s">
        <v>0</v>
      </c>
      <c r="D23" t="s">
        <v>1</v>
      </c>
      <c r="E23">
        <v>877550</v>
      </c>
      <c r="F23">
        <v>0</v>
      </c>
      <c r="G23">
        <v>30</v>
      </c>
      <c r="H23">
        <v>30</v>
      </c>
      <c r="I23" t="s">
        <v>2</v>
      </c>
      <c r="J23" t="s">
        <v>3</v>
      </c>
      <c r="K23" s="1">
        <v>44880.360254629632</v>
      </c>
      <c r="L23" s="2">
        <v>30</v>
      </c>
      <c r="M23" s="2">
        <f t="shared" si="0"/>
        <v>0</v>
      </c>
      <c r="N23">
        <v>0</v>
      </c>
      <c r="O23" t="b">
        <f t="shared" si="1"/>
        <v>1</v>
      </c>
      <c r="P23" t="b">
        <f t="shared" si="2"/>
        <v>1</v>
      </c>
    </row>
    <row r="24" spans="1:16" x14ac:dyDescent="0.25">
      <c r="A24">
        <v>3145469</v>
      </c>
      <c r="B24">
        <v>900506</v>
      </c>
      <c r="C24" t="s">
        <v>0</v>
      </c>
      <c r="D24" t="s">
        <v>1</v>
      </c>
      <c r="E24">
        <v>877550</v>
      </c>
      <c r="F24">
        <v>0</v>
      </c>
      <c r="G24">
        <v>30</v>
      </c>
      <c r="H24">
        <v>30</v>
      </c>
      <c r="I24" t="s">
        <v>2</v>
      </c>
      <c r="J24" t="s">
        <v>3</v>
      </c>
      <c r="K24" s="1">
        <v>44885.049375000002</v>
      </c>
      <c r="L24" s="2">
        <v>16</v>
      </c>
      <c r="M24" s="2">
        <f t="shared" si="0"/>
        <v>14</v>
      </c>
      <c r="N24">
        <v>0</v>
      </c>
      <c r="O24" t="b">
        <f t="shared" si="1"/>
        <v>1</v>
      </c>
      <c r="P24" t="b">
        <f t="shared" si="2"/>
        <v>1</v>
      </c>
    </row>
    <row r="25" spans="1:16" x14ac:dyDescent="0.25">
      <c r="A25">
        <v>3161723</v>
      </c>
      <c r="B25">
        <v>900506</v>
      </c>
      <c r="C25" t="s">
        <v>0</v>
      </c>
      <c r="D25" t="s">
        <v>1</v>
      </c>
      <c r="E25">
        <v>877550</v>
      </c>
      <c r="F25">
        <v>14</v>
      </c>
      <c r="G25">
        <v>14</v>
      </c>
      <c r="H25">
        <v>0</v>
      </c>
      <c r="I25" t="s">
        <v>4</v>
      </c>
      <c r="J25" t="s">
        <v>5</v>
      </c>
      <c r="K25" s="1">
        <v>44918.479687500003</v>
      </c>
      <c r="L25" s="2">
        <v>0</v>
      </c>
      <c r="M25" s="2">
        <f t="shared" si="0"/>
        <v>0</v>
      </c>
      <c r="N25">
        <v>14</v>
      </c>
      <c r="O25" t="b">
        <f t="shared" si="1"/>
        <v>1</v>
      </c>
      <c r="P25" t="b">
        <f t="shared" si="2"/>
        <v>1</v>
      </c>
    </row>
    <row r="26" spans="1:16" x14ac:dyDescent="0.25">
      <c r="A26">
        <v>3169850</v>
      </c>
      <c r="B26">
        <v>900506</v>
      </c>
      <c r="C26" t="s">
        <v>0</v>
      </c>
      <c r="D26" t="s">
        <v>1</v>
      </c>
      <c r="E26">
        <v>877550</v>
      </c>
      <c r="F26">
        <v>0</v>
      </c>
      <c r="G26">
        <v>30</v>
      </c>
      <c r="H26">
        <v>30</v>
      </c>
      <c r="I26" t="s">
        <v>2</v>
      </c>
      <c r="J26" t="s">
        <v>3</v>
      </c>
      <c r="K26" s="1">
        <v>44953.382523148146</v>
      </c>
      <c r="L26" s="2">
        <v>28</v>
      </c>
      <c r="M26" s="2">
        <f t="shared" si="0"/>
        <v>2</v>
      </c>
      <c r="N26">
        <v>0</v>
      </c>
      <c r="O26" t="b">
        <f t="shared" si="1"/>
        <v>1</v>
      </c>
      <c r="P26" t="b">
        <f t="shared" si="2"/>
        <v>1</v>
      </c>
    </row>
    <row r="27" spans="1:16" x14ac:dyDescent="0.25">
      <c r="A27">
        <v>3197576</v>
      </c>
      <c r="B27">
        <v>900506</v>
      </c>
      <c r="C27" t="s">
        <v>0</v>
      </c>
      <c r="D27" t="s">
        <v>1</v>
      </c>
      <c r="E27">
        <v>877550</v>
      </c>
      <c r="F27">
        <v>2</v>
      </c>
      <c r="G27">
        <v>30</v>
      </c>
      <c r="H27">
        <v>32</v>
      </c>
      <c r="I27" t="s">
        <v>2</v>
      </c>
      <c r="J27" t="s">
        <v>3</v>
      </c>
      <c r="K27" s="1">
        <v>45001.88858796296</v>
      </c>
      <c r="L27" s="2">
        <v>32</v>
      </c>
      <c r="M27" s="2">
        <f t="shared" si="0"/>
        <v>0</v>
      </c>
      <c r="N27">
        <v>2</v>
      </c>
      <c r="O27" t="b">
        <f t="shared" si="1"/>
        <v>1</v>
      </c>
      <c r="P27" t="b">
        <f t="shared" si="2"/>
        <v>1</v>
      </c>
    </row>
    <row r="28" spans="1:16" x14ac:dyDescent="0.25">
      <c r="A28">
        <v>3200699</v>
      </c>
      <c r="B28">
        <v>900506</v>
      </c>
      <c r="C28" t="s">
        <v>0</v>
      </c>
      <c r="D28" t="s">
        <v>1</v>
      </c>
      <c r="E28">
        <v>877550</v>
      </c>
      <c r="F28">
        <v>0</v>
      </c>
      <c r="G28">
        <v>30</v>
      </c>
      <c r="H28">
        <v>30</v>
      </c>
      <c r="I28" t="s">
        <v>2</v>
      </c>
      <c r="J28" t="s">
        <v>3</v>
      </c>
      <c r="K28" s="1">
        <v>45010.826481481483</v>
      </c>
      <c r="L28" s="2">
        <v>28</v>
      </c>
      <c r="M28" s="2">
        <f t="shared" si="0"/>
        <v>2</v>
      </c>
      <c r="N28">
        <v>0</v>
      </c>
      <c r="O28" t="b">
        <f t="shared" si="1"/>
        <v>1</v>
      </c>
      <c r="P28" t="b">
        <f t="shared" si="2"/>
        <v>1</v>
      </c>
    </row>
    <row r="29" spans="1:16" x14ac:dyDescent="0.25">
      <c r="A29">
        <v>3202136</v>
      </c>
      <c r="B29">
        <v>900506</v>
      </c>
      <c r="C29" t="s">
        <v>0</v>
      </c>
      <c r="D29" t="s">
        <v>1</v>
      </c>
      <c r="E29">
        <v>877550</v>
      </c>
      <c r="F29">
        <v>2</v>
      </c>
      <c r="G29">
        <v>30</v>
      </c>
      <c r="H29">
        <v>32</v>
      </c>
      <c r="I29" t="s">
        <v>2</v>
      </c>
      <c r="J29" t="s">
        <v>3</v>
      </c>
      <c r="K29" s="1">
        <v>45013.959907407407</v>
      </c>
      <c r="L29" s="2">
        <v>27</v>
      </c>
      <c r="M29" s="2">
        <f t="shared" si="0"/>
        <v>5</v>
      </c>
      <c r="N29">
        <v>2</v>
      </c>
      <c r="O29" t="b">
        <f t="shared" si="1"/>
        <v>1</v>
      </c>
      <c r="P29" t="b">
        <f t="shared" si="2"/>
        <v>1</v>
      </c>
    </row>
    <row r="30" spans="1:16" x14ac:dyDescent="0.25">
      <c r="A30">
        <v>3202755</v>
      </c>
      <c r="B30">
        <v>900506</v>
      </c>
      <c r="C30" t="s">
        <v>0</v>
      </c>
      <c r="D30" t="s">
        <v>1</v>
      </c>
      <c r="E30">
        <v>877550</v>
      </c>
      <c r="F30">
        <v>5</v>
      </c>
      <c r="G30">
        <v>30</v>
      </c>
      <c r="H30">
        <v>35</v>
      </c>
      <c r="I30" t="s">
        <v>2</v>
      </c>
      <c r="J30" t="s">
        <v>3</v>
      </c>
      <c r="K30" s="1">
        <v>45015.64576388889</v>
      </c>
      <c r="L30" s="2">
        <v>34</v>
      </c>
      <c r="M30" s="2">
        <f t="shared" si="0"/>
        <v>1</v>
      </c>
      <c r="N30">
        <v>5</v>
      </c>
      <c r="O30" t="b">
        <f t="shared" si="1"/>
        <v>1</v>
      </c>
      <c r="P30" t="b">
        <f t="shared" si="2"/>
        <v>1</v>
      </c>
    </row>
    <row r="31" spans="1:16" x14ac:dyDescent="0.25">
      <c r="A31">
        <v>3202797</v>
      </c>
      <c r="B31">
        <v>900506</v>
      </c>
      <c r="C31" t="s">
        <v>0</v>
      </c>
      <c r="D31" t="s">
        <v>1</v>
      </c>
      <c r="E31">
        <v>877550</v>
      </c>
      <c r="F31">
        <v>1</v>
      </c>
      <c r="G31">
        <v>30</v>
      </c>
      <c r="H31">
        <v>31</v>
      </c>
      <c r="I31" t="s">
        <v>2</v>
      </c>
      <c r="J31" t="s">
        <v>3</v>
      </c>
      <c r="K31" s="1">
        <v>45015.718333333331</v>
      </c>
      <c r="L31" s="2">
        <v>31</v>
      </c>
      <c r="M31" s="2">
        <f t="shared" si="0"/>
        <v>0</v>
      </c>
      <c r="N31">
        <v>1</v>
      </c>
      <c r="O31" t="b">
        <f t="shared" si="1"/>
        <v>1</v>
      </c>
      <c r="P31" t="b">
        <f t="shared" si="2"/>
        <v>1</v>
      </c>
    </row>
    <row r="32" spans="1:16" x14ac:dyDescent="0.25">
      <c r="A32">
        <v>3210625</v>
      </c>
      <c r="B32">
        <v>900506</v>
      </c>
      <c r="C32" t="s">
        <v>0</v>
      </c>
      <c r="D32" t="s">
        <v>1</v>
      </c>
      <c r="E32">
        <v>877550</v>
      </c>
      <c r="F32">
        <v>0</v>
      </c>
      <c r="G32">
        <v>30</v>
      </c>
      <c r="H32">
        <v>30</v>
      </c>
      <c r="I32" t="s">
        <v>2</v>
      </c>
      <c r="J32" t="s">
        <v>3</v>
      </c>
      <c r="K32" s="1">
        <v>45019.340613425928</v>
      </c>
      <c r="L32" s="2">
        <v>29</v>
      </c>
      <c r="M32" s="2">
        <f t="shared" si="0"/>
        <v>1</v>
      </c>
      <c r="N32">
        <v>0</v>
      </c>
      <c r="O32" t="b">
        <f t="shared" si="1"/>
        <v>1</v>
      </c>
      <c r="P32" t="b">
        <f t="shared" si="2"/>
        <v>1</v>
      </c>
    </row>
    <row r="33" spans="1:16" x14ac:dyDescent="0.25">
      <c r="A33">
        <v>3212518</v>
      </c>
      <c r="B33">
        <v>900506</v>
      </c>
      <c r="C33" t="s">
        <v>0</v>
      </c>
      <c r="D33" t="s">
        <v>1</v>
      </c>
      <c r="E33">
        <v>877550</v>
      </c>
      <c r="F33">
        <v>1</v>
      </c>
      <c r="G33">
        <v>30</v>
      </c>
      <c r="H33">
        <v>31</v>
      </c>
      <c r="I33" t="s">
        <v>2</v>
      </c>
      <c r="J33" t="s">
        <v>3</v>
      </c>
      <c r="K33" s="1">
        <v>45021.6719212963</v>
      </c>
      <c r="L33" s="2">
        <v>30</v>
      </c>
      <c r="M33" s="2">
        <f t="shared" si="0"/>
        <v>1</v>
      </c>
      <c r="N33">
        <v>1</v>
      </c>
      <c r="O33" t="b">
        <f t="shared" si="1"/>
        <v>1</v>
      </c>
      <c r="P33" t="b">
        <f t="shared" si="2"/>
        <v>1</v>
      </c>
    </row>
    <row r="34" spans="1:16" x14ac:dyDescent="0.25">
      <c r="A34">
        <v>3213108</v>
      </c>
      <c r="B34">
        <v>900506</v>
      </c>
      <c r="C34" t="s">
        <v>0</v>
      </c>
      <c r="D34" t="s">
        <v>1</v>
      </c>
      <c r="E34">
        <v>877550</v>
      </c>
      <c r="F34">
        <v>1</v>
      </c>
      <c r="G34">
        <v>30</v>
      </c>
      <c r="H34">
        <v>31</v>
      </c>
      <c r="I34" t="s">
        <v>2</v>
      </c>
      <c r="J34" t="s">
        <v>3</v>
      </c>
      <c r="K34" s="1">
        <v>45023.814664351848</v>
      </c>
      <c r="L34" s="2">
        <v>31</v>
      </c>
      <c r="M34" s="2">
        <f t="shared" si="0"/>
        <v>0</v>
      </c>
      <c r="N34">
        <v>1</v>
      </c>
      <c r="O34" t="b">
        <f t="shared" si="1"/>
        <v>1</v>
      </c>
      <c r="P34" t="b">
        <f t="shared" si="2"/>
        <v>1</v>
      </c>
    </row>
    <row r="35" spans="1:16" x14ac:dyDescent="0.25">
      <c r="A35">
        <v>3214906</v>
      </c>
      <c r="B35">
        <v>900506</v>
      </c>
      <c r="C35" t="s">
        <v>0</v>
      </c>
      <c r="D35" t="s">
        <v>1</v>
      </c>
      <c r="E35">
        <v>877550</v>
      </c>
      <c r="F35">
        <v>0</v>
      </c>
      <c r="G35">
        <v>30</v>
      </c>
      <c r="H35">
        <v>30</v>
      </c>
      <c r="I35" t="s">
        <v>2</v>
      </c>
      <c r="J35" t="s">
        <v>3</v>
      </c>
      <c r="K35" s="1">
        <v>45027.656365740739</v>
      </c>
      <c r="L35" s="2">
        <v>30</v>
      </c>
      <c r="M35" s="2">
        <f t="shared" si="0"/>
        <v>0</v>
      </c>
      <c r="N35">
        <v>0</v>
      </c>
      <c r="O35" t="b">
        <f t="shared" si="1"/>
        <v>1</v>
      </c>
      <c r="P35" t="b">
        <f t="shared" si="2"/>
        <v>1</v>
      </c>
    </row>
    <row r="36" spans="1:16" x14ac:dyDescent="0.25">
      <c r="A36">
        <v>3216222</v>
      </c>
      <c r="B36">
        <v>900506</v>
      </c>
      <c r="C36" t="s">
        <v>0</v>
      </c>
      <c r="D36" t="s">
        <v>1</v>
      </c>
      <c r="E36">
        <v>877550</v>
      </c>
      <c r="F36">
        <v>0</v>
      </c>
      <c r="G36">
        <v>30</v>
      </c>
      <c r="H36">
        <v>30</v>
      </c>
      <c r="I36" t="s">
        <v>2</v>
      </c>
      <c r="J36" t="s">
        <v>3</v>
      </c>
      <c r="K36" s="1">
        <v>45030.868645833332</v>
      </c>
      <c r="L36" s="2">
        <v>30</v>
      </c>
      <c r="M36" s="2">
        <f t="shared" si="0"/>
        <v>0</v>
      </c>
      <c r="N36">
        <v>0</v>
      </c>
      <c r="O36" t="b">
        <f t="shared" si="1"/>
        <v>1</v>
      </c>
      <c r="P36" t="b">
        <f t="shared" si="2"/>
        <v>1</v>
      </c>
    </row>
    <row r="37" spans="1:16" x14ac:dyDescent="0.25">
      <c r="A37">
        <v>3237012</v>
      </c>
      <c r="B37">
        <v>900506</v>
      </c>
      <c r="C37" t="s">
        <v>0</v>
      </c>
      <c r="D37" t="s">
        <v>1</v>
      </c>
      <c r="E37">
        <v>877550</v>
      </c>
      <c r="F37">
        <v>0</v>
      </c>
      <c r="G37">
        <v>30</v>
      </c>
      <c r="H37">
        <v>30</v>
      </c>
      <c r="I37" t="s">
        <v>2</v>
      </c>
      <c r="J37" t="s">
        <v>3</v>
      </c>
      <c r="K37" s="1">
        <v>45068.974641203706</v>
      </c>
      <c r="L37" s="2">
        <v>27</v>
      </c>
      <c r="M37" s="2">
        <f t="shared" si="0"/>
        <v>3</v>
      </c>
      <c r="N37">
        <v>0</v>
      </c>
      <c r="O37" t="b">
        <f t="shared" si="1"/>
        <v>1</v>
      </c>
      <c r="P37" t="b">
        <f t="shared" si="2"/>
        <v>1</v>
      </c>
    </row>
    <row r="38" spans="1:16" x14ac:dyDescent="0.25">
      <c r="A38">
        <v>3237830</v>
      </c>
      <c r="B38">
        <v>900506</v>
      </c>
      <c r="C38" t="s">
        <v>0</v>
      </c>
      <c r="D38" t="s">
        <v>1</v>
      </c>
      <c r="E38">
        <v>877550</v>
      </c>
      <c r="F38">
        <v>3</v>
      </c>
      <c r="G38">
        <v>30</v>
      </c>
      <c r="H38">
        <v>33</v>
      </c>
      <c r="I38" t="s">
        <v>2</v>
      </c>
      <c r="J38" t="s">
        <v>3</v>
      </c>
      <c r="K38" s="1">
        <v>45071.084583333337</v>
      </c>
      <c r="L38" s="2">
        <v>32</v>
      </c>
      <c r="M38" s="2">
        <f t="shared" si="0"/>
        <v>1</v>
      </c>
      <c r="N38">
        <v>3</v>
      </c>
      <c r="O38" t="b">
        <f t="shared" si="1"/>
        <v>1</v>
      </c>
      <c r="P38" t="b">
        <f t="shared" si="2"/>
        <v>1</v>
      </c>
    </row>
    <row r="39" spans="1:16" x14ac:dyDescent="0.25">
      <c r="A39">
        <v>3239729</v>
      </c>
      <c r="B39">
        <v>900506</v>
      </c>
      <c r="C39" t="s">
        <v>0</v>
      </c>
      <c r="D39" t="s">
        <v>1</v>
      </c>
      <c r="E39">
        <v>877550</v>
      </c>
      <c r="F39">
        <v>1</v>
      </c>
      <c r="G39">
        <v>30</v>
      </c>
      <c r="H39">
        <v>31</v>
      </c>
      <c r="I39" t="s">
        <v>2</v>
      </c>
      <c r="J39" t="s">
        <v>3</v>
      </c>
      <c r="K39" s="1">
        <v>45076.861643518518</v>
      </c>
      <c r="L39" s="2">
        <v>31</v>
      </c>
      <c r="M39" s="2">
        <f t="shared" si="0"/>
        <v>0</v>
      </c>
      <c r="N39">
        <v>1</v>
      </c>
      <c r="O39" t="b">
        <f t="shared" si="1"/>
        <v>1</v>
      </c>
      <c r="P39" t="b">
        <f t="shared" si="2"/>
        <v>1</v>
      </c>
    </row>
    <row r="40" spans="1:16" x14ac:dyDescent="0.25">
      <c r="A40">
        <v>3251474</v>
      </c>
      <c r="B40">
        <v>900506</v>
      </c>
      <c r="C40" t="s">
        <v>0</v>
      </c>
      <c r="D40" t="s">
        <v>1</v>
      </c>
      <c r="E40">
        <v>877550</v>
      </c>
      <c r="F40">
        <v>0</v>
      </c>
      <c r="G40">
        <v>30</v>
      </c>
      <c r="H40">
        <v>30</v>
      </c>
      <c r="I40" t="s">
        <v>2</v>
      </c>
      <c r="J40" t="s">
        <v>3</v>
      </c>
      <c r="K40" s="1">
        <v>45087.889513888891</v>
      </c>
      <c r="L40" s="2">
        <v>30</v>
      </c>
      <c r="M40" s="2">
        <f t="shared" si="0"/>
        <v>0</v>
      </c>
      <c r="N40">
        <v>0</v>
      </c>
      <c r="O40" t="b">
        <f t="shared" si="1"/>
        <v>1</v>
      </c>
      <c r="P40" t="b">
        <f t="shared" si="2"/>
        <v>1</v>
      </c>
    </row>
    <row r="41" spans="1:16" x14ac:dyDescent="0.25">
      <c r="A41">
        <v>3251681</v>
      </c>
      <c r="B41">
        <v>900506</v>
      </c>
      <c r="C41" t="s">
        <v>0</v>
      </c>
      <c r="D41" t="s">
        <v>1</v>
      </c>
      <c r="E41">
        <v>877550</v>
      </c>
      <c r="F41">
        <v>0</v>
      </c>
      <c r="G41">
        <v>30</v>
      </c>
      <c r="H41">
        <v>30</v>
      </c>
      <c r="I41" t="s">
        <v>2</v>
      </c>
      <c r="J41" t="s">
        <v>3</v>
      </c>
      <c r="K41" s="1">
        <v>45088.726747685185</v>
      </c>
      <c r="L41" s="2">
        <v>15</v>
      </c>
      <c r="M41" s="2">
        <f t="shared" si="0"/>
        <v>15</v>
      </c>
      <c r="N41">
        <v>0</v>
      </c>
      <c r="O41" t="b">
        <f t="shared" si="1"/>
        <v>1</v>
      </c>
      <c r="P41" t="b">
        <f t="shared" si="2"/>
        <v>1</v>
      </c>
    </row>
    <row r="42" spans="1:16" x14ac:dyDescent="0.25">
      <c r="A42">
        <v>3254075</v>
      </c>
      <c r="B42">
        <v>900506</v>
      </c>
      <c r="C42" t="s">
        <v>0</v>
      </c>
      <c r="D42" t="s">
        <v>1</v>
      </c>
      <c r="E42">
        <v>877550</v>
      </c>
      <c r="F42">
        <v>15</v>
      </c>
      <c r="G42">
        <v>15</v>
      </c>
      <c r="H42">
        <v>0</v>
      </c>
      <c r="I42" t="s">
        <v>4</v>
      </c>
      <c r="J42" t="s">
        <v>5</v>
      </c>
      <c r="K42" s="1">
        <v>45092.661828703705</v>
      </c>
      <c r="L42" s="2">
        <v>0</v>
      </c>
      <c r="M42" s="2">
        <f t="shared" si="0"/>
        <v>0</v>
      </c>
      <c r="N42">
        <v>15</v>
      </c>
      <c r="O42" t="b">
        <f t="shared" si="1"/>
        <v>1</v>
      </c>
      <c r="P42" t="b">
        <f t="shared" si="2"/>
        <v>1</v>
      </c>
    </row>
    <row r="43" spans="1:16" x14ac:dyDescent="0.25">
      <c r="A43">
        <v>3255215</v>
      </c>
      <c r="B43">
        <v>900506</v>
      </c>
      <c r="C43" t="s">
        <v>0</v>
      </c>
      <c r="D43" t="s">
        <v>1</v>
      </c>
      <c r="E43">
        <v>877550</v>
      </c>
      <c r="F43">
        <v>0</v>
      </c>
      <c r="G43">
        <v>30</v>
      </c>
      <c r="H43">
        <v>30</v>
      </c>
      <c r="I43" t="s">
        <v>2</v>
      </c>
      <c r="J43" t="s">
        <v>3</v>
      </c>
      <c r="K43" s="1">
        <v>45094.795115740744</v>
      </c>
      <c r="L43" s="2">
        <v>30</v>
      </c>
      <c r="M43" s="2">
        <f t="shared" si="0"/>
        <v>0</v>
      </c>
      <c r="N43">
        <v>0</v>
      </c>
      <c r="O43" t="b">
        <f t="shared" si="1"/>
        <v>1</v>
      </c>
      <c r="P43" t="b">
        <f t="shared" si="2"/>
        <v>1</v>
      </c>
    </row>
    <row r="44" spans="1:16" x14ac:dyDescent="0.25">
      <c r="A44">
        <v>3256234</v>
      </c>
      <c r="B44">
        <v>900506</v>
      </c>
      <c r="C44" t="s">
        <v>0</v>
      </c>
      <c r="D44" t="s">
        <v>1</v>
      </c>
      <c r="E44">
        <v>877550</v>
      </c>
      <c r="F44">
        <v>0</v>
      </c>
      <c r="G44">
        <v>30</v>
      </c>
      <c r="H44">
        <v>30</v>
      </c>
      <c r="I44" t="s">
        <v>2</v>
      </c>
      <c r="J44" t="s">
        <v>3</v>
      </c>
      <c r="K44" s="1">
        <v>45096.836539351854</v>
      </c>
      <c r="L44" s="2">
        <v>22</v>
      </c>
      <c r="M44" s="2">
        <f t="shared" si="0"/>
        <v>8</v>
      </c>
      <c r="N44">
        <v>0</v>
      </c>
      <c r="O44" t="b">
        <f t="shared" si="1"/>
        <v>1</v>
      </c>
      <c r="P44" t="b">
        <f t="shared" si="2"/>
        <v>1</v>
      </c>
    </row>
    <row r="45" spans="1:16" x14ac:dyDescent="0.25">
      <c r="A45">
        <v>3256441</v>
      </c>
      <c r="B45">
        <v>900506</v>
      </c>
      <c r="C45" t="s">
        <v>0</v>
      </c>
      <c r="D45" t="s">
        <v>1</v>
      </c>
      <c r="E45">
        <v>877550</v>
      </c>
      <c r="F45">
        <v>8</v>
      </c>
      <c r="G45">
        <v>8</v>
      </c>
      <c r="H45">
        <v>0</v>
      </c>
      <c r="I45" t="s">
        <v>4</v>
      </c>
      <c r="J45" t="s">
        <v>5</v>
      </c>
      <c r="K45" s="1">
        <v>45097.462326388886</v>
      </c>
      <c r="L45" s="2">
        <v>0</v>
      </c>
      <c r="M45" s="2">
        <f t="shared" si="0"/>
        <v>0</v>
      </c>
      <c r="N45">
        <v>8</v>
      </c>
      <c r="O45" t="b">
        <f t="shared" si="1"/>
        <v>1</v>
      </c>
      <c r="P45" t="b">
        <f t="shared" si="2"/>
        <v>1</v>
      </c>
    </row>
    <row r="46" spans="1:16" x14ac:dyDescent="0.25">
      <c r="A46">
        <v>3257721</v>
      </c>
      <c r="B46">
        <v>900506</v>
      </c>
      <c r="C46" t="s">
        <v>0</v>
      </c>
      <c r="D46" t="s">
        <v>1</v>
      </c>
      <c r="E46">
        <v>877550</v>
      </c>
      <c r="F46">
        <v>0</v>
      </c>
      <c r="G46">
        <v>30</v>
      </c>
      <c r="H46">
        <v>30</v>
      </c>
      <c r="I46" t="s">
        <v>2</v>
      </c>
      <c r="J46" t="s">
        <v>3</v>
      </c>
      <c r="K46" s="1">
        <v>45101.46980324074</v>
      </c>
      <c r="L46" s="2">
        <v>24</v>
      </c>
      <c r="M46" s="2">
        <f t="shared" si="0"/>
        <v>6</v>
      </c>
      <c r="N46">
        <v>0</v>
      </c>
      <c r="O46" t="b">
        <f t="shared" si="1"/>
        <v>1</v>
      </c>
      <c r="P46" t="b">
        <f t="shared" si="2"/>
        <v>1</v>
      </c>
    </row>
    <row r="47" spans="1:16" x14ac:dyDescent="0.25">
      <c r="A47">
        <v>3258592</v>
      </c>
      <c r="B47">
        <v>900506</v>
      </c>
      <c r="C47" t="s">
        <v>0</v>
      </c>
      <c r="D47" t="s">
        <v>1</v>
      </c>
      <c r="E47">
        <v>877550</v>
      </c>
      <c r="F47">
        <v>6</v>
      </c>
      <c r="G47">
        <v>30</v>
      </c>
      <c r="H47">
        <v>36</v>
      </c>
      <c r="I47" t="s">
        <v>2</v>
      </c>
      <c r="J47" t="s">
        <v>3</v>
      </c>
      <c r="K47" s="1">
        <v>45104.354942129627</v>
      </c>
      <c r="L47" s="2">
        <v>7</v>
      </c>
      <c r="M47" s="2">
        <f t="shared" si="0"/>
        <v>29</v>
      </c>
      <c r="N47">
        <v>6</v>
      </c>
      <c r="O47" t="b">
        <f t="shared" si="1"/>
        <v>1</v>
      </c>
      <c r="P47" t="b">
        <f t="shared" si="2"/>
        <v>1</v>
      </c>
    </row>
    <row r="48" spans="1:16" x14ac:dyDescent="0.25">
      <c r="A48">
        <v>3258699</v>
      </c>
      <c r="B48">
        <v>900506</v>
      </c>
      <c r="C48" t="s">
        <v>0</v>
      </c>
      <c r="D48" t="s">
        <v>1</v>
      </c>
      <c r="E48">
        <v>877550</v>
      </c>
      <c r="F48">
        <v>29</v>
      </c>
      <c r="G48">
        <v>29</v>
      </c>
      <c r="H48">
        <v>0</v>
      </c>
      <c r="I48" t="s">
        <v>4</v>
      </c>
      <c r="J48" t="s">
        <v>5</v>
      </c>
      <c r="K48" s="1">
        <v>45104.555138888885</v>
      </c>
      <c r="L48" s="2">
        <v>0</v>
      </c>
      <c r="M48" s="2">
        <f t="shared" si="0"/>
        <v>0</v>
      </c>
      <c r="N48">
        <v>29</v>
      </c>
      <c r="O48" t="b">
        <f t="shared" si="1"/>
        <v>1</v>
      </c>
      <c r="P48" t="b">
        <f t="shared" si="2"/>
        <v>1</v>
      </c>
    </row>
    <row r="49" spans="1:16" x14ac:dyDescent="0.25">
      <c r="A49">
        <v>3265663</v>
      </c>
      <c r="B49">
        <v>900506</v>
      </c>
      <c r="C49" t="s">
        <v>0</v>
      </c>
      <c r="D49" t="s">
        <v>1</v>
      </c>
      <c r="E49">
        <v>877550</v>
      </c>
      <c r="F49">
        <v>0</v>
      </c>
      <c r="G49">
        <v>30</v>
      </c>
      <c r="H49">
        <v>30</v>
      </c>
      <c r="I49" t="s">
        <v>2</v>
      </c>
      <c r="J49" t="s">
        <v>3</v>
      </c>
      <c r="K49" s="1">
        <v>45109.907685185186</v>
      </c>
      <c r="L49" s="2">
        <v>27</v>
      </c>
      <c r="M49" s="2">
        <f t="shared" si="0"/>
        <v>3</v>
      </c>
      <c r="N49">
        <v>0</v>
      </c>
      <c r="O49" t="b">
        <f t="shared" si="1"/>
        <v>1</v>
      </c>
      <c r="P49" t="b">
        <f t="shared" si="2"/>
        <v>1</v>
      </c>
    </row>
    <row r="50" spans="1:16" x14ac:dyDescent="0.25">
      <c r="A50">
        <v>3266447</v>
      </c>
      <c r="B50">
        <v>900506</v>
      </c>
      <c r="C50" t="s">
        <v>0</v>
      </c>
      <c r="D50" t="s">
        <v>1</v>
      </c>
      <c r="E50">
        <v>877550</v>
      </c>
      <c r="F50">
        <v>3</v>
      </c>
      <c r="G50">
        <v>30</v>
      </c>
      <c r="H50">
        <v>33</v>
      </c>
      <c r="I50" t="s">
        <v>2</v>
      </c>
      <c r="J50" t="s">
        <v>3</v>
      </c>
      <c r="K50" s="1">
        <v>45110.865937499999</v>
      </c>
      <c r="L50" s="2">
        <v>33</v>
      </c>
      <c r="M50" s="2">
        <f t="shared" si="0"/>
        <v>0</v>
      </c>
      <c r="N50">
        <v>3</v>
      </c>
      <c r="O50" t="b">
        <f t="shared" si="1"/>
        <v>1</v>
      </c>
      <c r="P50" t="b">
        <f t="shared" si="2"/>
        <v>1</v>
      </c>
    </row>
    <row r="51" spans="1:16" x14ac:dyDescent="0.25">
      <c r="A51">
        <v>3267504</v>
      </c>
      <c r="B51">
        <v>900506</v>
      </c>
      <c r="C51" t="s">
        <v>0</v>
      </c>
      <c r="D51" t="s">
        <v>1</v>
      </c>
      <c r="E51">
        <v>877550</v>
      </c>
      <c r="F51">
        <v>0</v>
      </c>
      <c r="G51">
        <v>30</v>
      </c>
      <c r="H51">
        <v>30</v>
      </c>
      <c r="I51" t="s">
        <v>2</v>
      </c>
      <c r="J51" t="s">
        <v>3</v>
      </c>
      <c r="K51" s="1">
        <v>45113.444027777776</v>
      </c>
      <c r="L51" s="2">
        <v>27</v>
      </c>
      <c r="M51" s="2">
        <f t="shared" si="0"/>
        <v>3</v>
      </c>
      <c r="N51">
        <v>0</v>
      </c>
      <c r="O51" t="b">
        <f t="shared" si="1"/>
        <v>1</v>
      </c>
      <c r="P51" t="b">
        <f t="shared" si="2"/>
        <v>1</v>
      </c>
    </row>
    <row r="52" spans="1:16" x14ac:dyDescent="0.25">
      <c r="A52">
        <v>3268548</v>
      </c>
      <c r="B52">
        <v>900506</v>
      </c>
      <c r="C52" t="s">
        <v>0</v>
      </c>
      <c r="D52" t="s">
        <v>1</v>
      </c>
      <c r="E52">
        <v>877550</v>
      </c>
      <c r="F52">
        <v>3</v>
      </c>
      <c r="G52">
        <v>30</v>
      </c>
      <c r="H52">
        <v>33</v>
      </c>
      <c r="I52" t="s">
        <v>2</v>
      </c>
      <c r="J52" t="s">
        <v>3</v>
      </c>
      <c r="K52" s="1">
        <v>45117.682754629626</v>
      </c>
      <c r="L52" s="2">
        <v>31</v>
      </c>
      <c r="M52" s="2">
        <f t="shared" si="0"/>
        <v>2</v>
      </c>
      <c r="N52">
        <v>3</v>
      </c>
      <c r="O52" t="b">
        <f t="shared" si="1"/>
        <v>1</v>
      </c>
      <c r="P52" t="b">
        <f t="shared" si="2"/>
        <v>1</v>
      </c>
    </row>
    <row r="53" spans="1:16" x14ac:dyDescent="0.25">
      <c r="A53">
        <v>3269211</v>
      </c>
      <c r="B53">
        <v>900506</v>
      </c>
      <c r="C53" t="s">
        <v>0</v>
      </c>
      <c r="D53" t="s">
        <v>1</v>
      </c>
      <c r="E53">
        <v>877550</v>
      </c>
      <c r="F53">
        <v>2</v>
      </c>
      <c r="G53">
        <v>30</v>
      </c>
      <c r="H53">
        <v>32</v>
      </c>
      <c r="I53" t="s">
        <v>2</v>
      </c>
      <c r="J53" t="s">
        <v>3</v>
      </c>
      <c r="K53" s="1">
        <v>45120.301192129627</v>
      </c>
      <c r="L53" s="2">
        <v>32</v>
      </c>
      <c r="M53" s="2">
        <f t="shared" si="0"/>
        <v>0</v>
      </c>
      <c r="N53">
        <v>2</v>
      </c>
      <c r="O53" t="b">
        <f t="shared" si="1"/>
        <v>1</v>
      </c>
      <c r="P53" t="b">
        <f t="shared" si="2"/>
        <v>1</v>
      </c>
    </row>
    <row r="54" spans="1:16" x14ac:dyDescent="0.25">
      <c r="A54">
        <v>3269258</v>
      </c>
      <c r="B54">
        <v>900506</v>
      </c>
      <c r="C54" t="s">
        <v>0</v>
      </c>
      <c r="D54" t="s">
        <v>1</v>
      </c>
      <c r="E54">
        <v>877550</v>
      </c>
      <c r="F54">
        <v>0</v>
      </c>
      <c r="G54">
        <v>30</v>
      </c>
      <c r="H54">
        <v>30</v>
      </c>
      <c r="I54" t="s">
        <v>2</v>
      </c>
      <c r="J54" t="s">
        <v>3</v>
      </c>
      <c r="K54" s="1">
        <v>45120.45721064815</v>
      </c>
      <c r="L54" s="2">
        <v>27</v>
      </c>
      <c r="M54" s="2">
        <f t="shared" si="0"/>
        <v>3</v>
      </c>
      <c r="N54">
        <v>0</v>
      </c>
      <c r="O54" t="b">
        <f t="shared" si="1"/>
        <v>1</v>
      </c>
      <c r="P54" t="b">
        <f t="shared" si="2"/>
        <v>1</v>
      </c>
    </row>
    <row r="55" spans="1:16" x14ac:dyDescent="0.25">
      <c r="A55">
        <v>3270064</v>
      </c>
      <c r="B55">
        <v>900506</v>
      </c>
      <c r="C55" t="s">
        <v>0</v>
      </c>
      <c r="D55" t="s">
        <v>1</v>
      </c>
      <c r="E55">
        <v>877550</v>
      </c>
      <c r="F55">
        <v>3</v>
      </c>
      <c r="G55">
        <v>30</v>
      </c>
      <c r="H55">
        <v>33</v>
      </c>
      <c r="I55" t="s">
        <v>2</v>
      </c>
      <c r="J55" t="s">
        <v>3</v>
      </c>
      <c r="K55" s="1">
        <v>45125.035405092596</v>
      </c>
      <c r="L55" s="2">
        <v>24</v>
      </c>
      <c r="M55" s="2">
        <f t="shared" si="0"/>
        <v>9</v>
      </c>
      <c r="N55">
        <v>3</v>
      </c>
      <c r="O55" t="b">
        <f t="shared" si="1"/>
        <v>1</v>
      </c>
      <c r="P55" t="b">
        <f t="shared" si="2"/>
        <v>1</v>
      </c>
    </row>
    <row r="56" spans="1:16" x14ac:dyDescent="0.25">
      <c r="A56">
        <v>3278852</v>
      </c>
      <c r="B56">
        <v>900506</v>
      </c>
      <c r="C56" t="s">
        <v>0</v>
      </c>
      <c r="D56" t="s">
        <v>1</v>
      </c>
      <c r="E56">
        <v>877550</v>
      </c>
      <c r="F56">
        <v>9</v>
      </c>
      <c r="G56">
        <v>9</v>
      </c>
      <c r="H56">
        <v>0</v>
      </c>
      <c r="I56" t="s">
        <v>4</v>
      </c>
      <c r="J56" t="s">
        <v>5</v>
      </c>
      <c r="K56" s="1">
        <v>45142.585023148145</v>
      </c>
      <c r="L56" s="2">
        <v>0</v>
      </c>
      <c r="M56" s="2">
        <f t="shared" si="0"/>
        <v>0</v>
      </c>
      <c r="N56">
        <v>9</v>
      </c>
      <c r="O56" t="b">
        <f t="shared" si="1"/>
        <v>1</v>
      </c>
      <c r="P56" t="b">
        <f t="shared" si="2"/>
        <v>1</v>
      </c>
    </row>
    <row r="57" spans="1:16" x14ac:dyDescent="0.25">
      <c r="A57">
        <v>3282662</v>
      </c>
      <c r="B57">
        <v>900506</v>
      </c>
      <c r="C57" t="s">
        <v>0</v>
      </c>
      <c r="D57" t="s">
        <v>1</v>
      </c>
      <c r="E57">
        <v>877550</v>
      </c>
      <c r="F57">
        <v>0</v>
      </c>
      <c r="G57">
        <v>30</v>
      </c>
      <c r="H57">
        <v>30</v>
      </c>
      <c r="I57" t="s">
        <v>2</v>
      </c>
      <c r="J57" t="s">
        <v>3</v>
      </c>
      <c r="K57" s="1">
        <v>45148.561192129629</v>
      </c>
      <c r="L57" s="2">
        <v>30</v>
      </c>
      <c r="M57" s="2">
        <f t="shared" si="0"/>
        <v>0</v>
      </c>
      <c r="N57">
        <v>0</v>
      </c>
      <c r="O57" t="b">
        <f t="shared" si="1"/>
        <v>1</v>
      </c>
      <c r="P57" t="b">
        <f t="shared" si="2"/>
        <v>1</v>
      </c>
    </row>
    <row r="58" spans="1:16" x14ac:dyDescent="0.25">
      <c r="A58">
        <v>3286006</v>
      </c>
      <c r="B58">
        <v>900506</v>
      </c>
      <c r="C58" t="s">
        <v>0</v>
      </c>
      <c r="D58" t="s">
        <v>1</v>
      </c>
      <c r="E58">
        <v>877550</v>
      </c>
      <c r="F58">
        <v>0</v>
      </c>
      <c r="G58">
        <v>30</v>
      </c>
      <c r="H58">
        <v>30</v>
      </c>
      <c r="I58" t="s">
        <v>2</v>
      </c>
      <c r="J58" t="s">
        <v>3</v>
      </c>
      <c r="K58" s="1">
        <v>45155.971817129626</v>
      </c>
      <c r="L58" s="2">
        <v>30</v>
      </c>
      <c r="M58" s="2">
        <f t="shared" si="0"/>
        <v>0</v>
      </c>
      <c r="N58">
        <v>0</v>
      </c>
      <c r="O58" t="b">
        <f t="shared" si="1"/>
        <v>1</v>
      </c>
      <c r="P58" t="b">
        <f t="shared" si="2"/>
        <v>1</v>
      </c>
    </row>
    <row r="59" spans="1:16" x14ac:dyDescent="0.25">
      <c r="A59">
        <v>3301571</v>
      </c>
      <c r="B59">
        <v>900506</v>
      </c>
      <c r="C59" t="s">
        <v>0</v>
      </c>
      <c r="D59" t="s">
        <v>1</v>
      </c>
      <c r="E59">
        <v>877550</v>
      </c>
      <c r="F59">
        <v>0</v>
      </c>
      <c r="G59">
        <v>30</v>
      </c>
      <c r="H59">
        <v>30</v>
      </c>
      <c r="I59" t="s">
        <v>2</v>
      </c>
      <c r="J59" t="s">
        <v>3</v>
      </c>
      <c r="K59" s="1">
        <v>45176.468206018515</v>
      </c>
      <c r="L59" s="2">
        <v>22</v>
      </c>
      <c r="M59" s="2">
        <f t="shared" si="0"/>
        <v>8</v>
      </c>
      <c r="N59">
        <v>0</v>
      </c>
      <c r="O59" t="b">
        <f t="shared" si="1"/>
        <v>1</v>
      </c>
      <c r="P59" t="b">
        <f t="shared" si="2"/>
        <v>1</v>
      </c>
    </row>
    <row r="60" spans="1:16" x14ac:dyDescent="0.25">
      <c r="A60">
        <v>3301946</v>
      </c>
      <c r="B60">
        <v>900506</v>
      </c>
      <c r="C60" t="s">
        <v>0</v>
      </c>
      <c r="D60" t="s">
        <v>1</v>
      </c>
      <c r="E60">
        <v>877550</v>
      </c>
      <c r="F60">
        <v>8</v>
      </c>
      <c r="G60">
        <v>8</v>
      </c>
      <c r="H60">
        <v>0</v>
      </c>
      <c r="I60" t="s">
        <v>4</v>
      </c>
      <c r="J60" t="s">
        <v>5</v>
      </c>
      <c r="K60" s="1">
        <v>45177.616168981483</v>
      </c>
      <c r="L60" s="2">
        <v>0</v>
      </c>
      <c r="M60" s="2">
        <f t="shared" si="0"/>
        <v>0</v>
      </c>
      <c r="N60">
        <v>8</v>
      </c>
      <c r="O60" t="b">
        <f t="shared" si="1"/>
        <v>1</v>
      </c>
      <c r="P60" t="b">
        <f t="shared" si="2"/>
        <v>1</v>
      </c>
    </row>
    <row r="61" spans="1:16" x14ac:dyDescent="0.25">
      <c r="A61">
        <v>3305681</v>
      </c>
      <c r="B61">
        <v>900506</v>
      </c>
      <c r="C61" t="s">
        <v>0</v>
      </c>
      <c r="D61" t="s">
        <v>1</v>
      </c>
      <c r="E61">
        <v>877550</v>
      </c>
      <c r="F61">
        <v>0</v>
      </c>
      <c r="G61">
        <v>30</v>
      </c>
      <c r="H61">
        <v>30</v>
      </c>
      <c r="I61" t="s">
        <v>2</v>
      </c>
      <c r="J61" t="s">
        <v>3</v>
      </c>
      <c r="K61" s="1">
        <v>45183.939421296294</v>
      </c>
      <c r="L61" s="2">
        <v>26</v>
      </c>
      <c r="M61" s="2">
        <f t="shared" si="0"/>
        <v>4</v>
      </c>
      <c r="N61">
        <v>0</v>
      </c>
      <c r="O61" t="b">
        <f t="shared" si="1"/>
        <v>1</v>
      </c>
      <c r="P61" t="b">
        <f t="shared" si="2"/>
        <v>1</v>
      </c>
    </row>
    <row r="62" spans="1:16" x14ac:dyDescent="0.25">
      <c r="A62">
        <v>3308578</v>
      </c>
      <c r="B62">
        <v>900506</v>
      </c>
      <c r="C62" t="s">
        <v>0</v>
      </c>
      <c r="D62" t="s">
        <v>1</v>
      </c>
      <c r="E62">
        <v>877550</v>
      </c>
      <c r="F62">
        <v>4</v>
      </c>
      <c r="G62">
        <v>30</v>
      </c>
      <c r="H62">
        <v>34</v>
      </c>
      <c r="I62" t="s">
        <v>2</v>
      </c>
      <c r="J62" t="s">
        <v>3</v>
      </c>
      <c r="K62" s="1">
        <v>45190.859895833331</v>
      </c>
      <c r="L62" s="2">
        <v>30</v>
      </c>
      <c r="M62" s="2">
        <f t="shared" si="0"/>
        <v>4</v>
      </c>
      <c r="N62">
        <v>4</v>
      </c>
      <c r="O62" t="b">
        <f t="shared" si="1"/>
        <v>1</v>
      </c>
      <c r="P62" t="b">
        <f t="shared" si="2"/>
        <v>1</v>
      </c>
    </row>
    <row r="63" spans="1:16" x14ac:dyDescent="0.25">
      <c r="A63">
        <v>3309088</v>
      </c>
      <c r="B63">
        <v>900506</v>
      </c>
      <c r="C63" t="s">
        <v>0</v>
      </c>
      <c r="D63" t="s">
        <v>1</v>
      </c>
      <c r="E63">
        <v>877550</v>
      </c>
      <c r="F63">
        <v>4</v>
      </c>
      <c r="G63">
        <v>30</v>
      </c>
      <c r="H63">
        <v>34</v>
      </c>
      <c r="I63" t="s">
        <v>2</v>
      </c>
      <c r="J63" t="s">
        <v>3</v>
      </c>
      <c r="K63" s="1">
        <v>45193.846458333333</v>
      </c>
      <c r="L63" s="2">
        <v>15</v>
      </c>
      <c r="M63" s="2">
        <f t="shared" si="0"/>
        <v>19</v>
      </c>
      <c r="N63">
        <v>4</v>
      </c>
      <c r="O63" t="b">
        <f t="shared" si="1"/>
        <v>1</v>
      </c>
      <c r="P63" t="b">
        <f t="shared" si="2"/>
        <v>1</v>
      </c>
    </row>
    <row r="64" spans="1:16" x14ac:dyDescent="0.25">
      <c r="A64">
        <v>3310145</v>
      </c>
      <c r="B64">
        <v>900506</v>
      </c>
      <c r="C64" t="s">
        <v>0</v>
      </c>
      <c r="D64" t="s">
        <v>1</v>
      </c>
      <c r="E64">
        <v>877550</v>
      </c>
      <c r="F64">
        <v>19</v>
      </c>
      <c r="G64">
        <v>19</v>
      </c>
      <c r="H64">
        <v>0</v>
      </c>
      <c r="I64" t="s">
        <v>4</v>
      </c>
      <c r="J64" t="s">
        <v>5</v>
      </c>
      <c r="K64" s="1">
        <v>45195.461655092593</v>
      </c>
      <c r="L64" s="2">
        <v>0</v>
      </c>
      <c r="M64" s="2">
        <f t="shared" si="0"/>
        <v>0</v>
      </c>
      <c r="N64">
        <v>19</v>
      </c>
      <c r="O64" t="b">
        <f t="shared" si="1"/>
        <v>1</v>
      </c>
      <c r="P64" t="b">
        <f t="shared" si="2"/>
        <v>1</v>
      </c>
    </row>
    <row r="65" spans="1:16" x14ac:dyDescent="0.25">
      <c r="A65">
        <v>3317449</v>
      </c>
      <c r="B65">
        <v>900506</v>
      </c>
      <c r="C65" t="s">
        <v>0</v>
      </c>
      <c r="D65" t="s">
        <v>1</v>
      </c>
      <c r="E65">
        <v>877550</v>
      </c>
      <c r="F65">
        <v>0</v>
      </c>
      <c r="G65">
        <v>30</v>
      </c>
      <c r="H65">
        <v>30</v>
      </c>
      <c r="I65" t="s">
        <v>2</v>
      </c>
      <c r="J65" t="s">
        <v>3</v>
      </c>
      <c r="K65" s="1">
        <v>45200.472291666665</v>
      </c>
      <c r="L65" s="2">
        <v>24</v>
      </c>
      <c r="M65" s="2">
        <f t="shared" si="0"/>
        <v>6</v>
      </c>
      <c r="N65">
        <v>0</v>
      </c>
      <c r="O65" t="b">
        <f t="shared" si="1"/>
        <v>1</v>
      </c>
      <c r="P65" t="b">
        <f t="shared" si="2"/>
        <v>1</v>
      </c>
    </row>
    <row r="66" spans="1:16" x14ac:dyDescent="0.25">
      <c r="A66">
        <v>3317744</v>
      </c>
      <c r="B66">
        <v>900506</v>
      </c>
      <c r="C66" t="s">
        <v>0</v>
      </c>
      <c r="D66" t="s">
        <v>1</v>
      </c>
      <c r="E66">
        <v>877550</v>
      </c>
      <c r="F66">
        <v>6</v>
      </c>
      <c r="G66">
        <v>30</v>
      </c>
      <c r="H66">
        <v>36</v>
      </c>
      <c r="I66" t="s">
        <v>2</v>
      </c>
      <c r="J66" t="s">
        <v>3</v>
      </c>
      <c r="K66" s="1">
        <v>45200.744733796295</v>
      </c>
      <c r="L66" s="2">
        <v>25</v>
      </c>
      <c r="M66" s="2">
        <f t="shared" si="0"/>
        <v>11</v>
      </c>
      <c r="N66">
        <v>6</v>
      </c>
      <c r="O66" t="b">
        <f t="shared" si="1"/>
        <v>1</v>
      </c>
      <c r="P66" t="b">
        <f t="shared" si="2"/>
        <v>1</v>
      </c>
    </row>
    <row r="67" spans="1:16" x14ac:dyDescent="0.25">
      <c r="A67">
        <v>3320011</v>
      </c>
      <c r="B67">
        <v>900506</v>
      </c>
      <c r="C67" t="s">
        <v>0</v>
      </c>
      <c r="D67" t="s">
        <v>1</v>
      </c>
      <c r="E67">
        <v>877550</v>
      </c>
      <c r="F67">
        <v>11</v>
      </c>
      <c r="G67">
        <v>11</v>
      </c>
      <c r="H67">
        <v>0</v>
      </c>
      <c r="I67" t="s">
        <v>4</v>
      </c>
      <c r="J67" t="s">
        <v>5</v>
      </c>
      <c r="K67" s="1">
        <v>45202.592685185184</v>
      </c>
      <c r="L67" s="2">
        <v>0</v>
      </c>
      <c r="M67" s="2">
        <f t="shared" ref="M67:M107" si="3">H67-L67</f>
        <v>0</v>
      </c>
      <c r="N67">
        <v>11</v>
      </c>
      <c r="O67" t="b">
        <f t="shared" ref="O67:O107" si="4">L67&lt;=H67</f>
        <v>1</v>
      </c>
      <c r="P67" t="b">
        <f t="shared" si="2"/>
        <v>1</v>
      </c>
    </row>
    <row r="68" spans="1:16" x14ac:dyDescent="0.25">
      <c r="A68">
        <v>3321089</v>
      </c>
      <c r="B68">
        <v>900506</v>
      </c>
      <c r="C68" t="s">
        <v>0</v>
      </c>
      <c r="D68" t="s">
        <v>1</v>
      </c>
      <c r="E68">
        <v>877550</v>
      </c>
      <c r="F68">
        <v>0</v>
      </c>
      <c r="G68">
        <v>30</v>
      </c>
      <c r="H68">
        <v>30</v>
      </c>
      <c r="I68" t="s">
        <v>2</v>
      </c>
      <c r="J68" t="s">
        <v>3</v>
      </c>
      <c r="K68" s="1">
        <v>45203.643900462965</v>
      </c>
      <c r="L68" s="2">
        <v>7</v>
      </c>
      <c r="M68" s="2">
        <f t="shared" si="3"/>
        <v>23</v>
      </c>
      <c r="N68">
        <v>0</v>
      </c>
      <c r="O68" t="b">
        <f t="shared" si="4"/>
        <v>1</v>
      </c>
      <c r="P68" t="b">
        <f t="shared" ref="P68:P107" si="5">N68=F68</f>
        <v>1</v>
      </c>
    </row>
    <row r="69" spans="1:16" x14ac:dyDescent="0.25">
      <c r="A69">
        <v>3322156</v>
      </c>
      <c r="B69">
        <v>900506</v>
      </c>
      <c r="C69" t="s">
        <v>0</v>
      </c>
      <c r="D69" t="s">
        <v>1</v>
      </c>
      <c r="E69">
        <v>877550</v>
      </c>
      <c r="F69">
        <v>23</v>
      </c>
      <c r="G69">
        <v>23</v>
      </c>
      <c r="H69">
        <v>0</v>
      </c>
      <c r="I69" t="s">
        <v>4</v>
      </c>
      <c r="J69" t="s">
        <v>5</v>
      </c>
      <c r="K69" s="1">
        <v>45205.571574074071</v>
      </c>
      <c r="L69" s="2">
        <v>0</v>
      </c>
      <c r="M69" s="2">
        <f t="shared" si="3"/>
        <v>0</v>
      </c>
      <c r="N69">
        <v>23</v>
      </c>
      <c r="O69" t="b">
        <f t="shared" si="4"/>
        <v>1</v>
      </c>
      <c r="P69" t="b">
        <f t="shared" si="5"/>
        <v>1</v>
      </c>
    </row>
    <row r="70" spans="1:16" x14ac:dyDescent="0.25">
      <c r="A70">
        <v>3323449</v>
      </c>
      <c r="B70">
        <v>900506</v>
      </c>
      <c r="C70" t="s">
        <v>0</v>
      </c>
      <c r="D70" t="s">
        <v>1</v>
      </c>
      <c r="E70">
        <v>877550</v>
      </c>
      <c r="F70">
        <v>0</v>
      </c>
      <c r="G70">
        <v>30</v>
      </c>
      <c r="H70">
        <v>30</v>
      </c>
      <c r="I70" t="s">
        <v>2</v>
      </c>
      <c r="J70" t="s">
        <v>3</v>
      </c>
      <c r="K70" s="1">
        <v>45208.494293981479</v>
      </c>
      <c r="L70" s="2">
        <v>30</v>
      </c>
      <c r="M70" s="2">
        <f t="shared" si="3"/>
        <v>0</v>
      </c>
      <c r="N70">
        <v>0</v>
      </c>
      <c r="O70" t="b">
        <f t="shared" si="4"/>
        <v>1</v>
      </c>
      <c r="P70" t="b">
        <f t="shared" si="5"/>
        <v>1</v>
      </c>
    </row>
    <row r="71" spans="1:16" x14ac:dyDescent="0.25">
      <c r="A71">
        <v>3323473</v>
      </c>
      <c r="B71">
        <v>900506</v>
      </c>
      <c r="C71" t="s">
        <v>0</v>
      </c>
      <c r="D71" t="s">
        <v>1</v>
      </c>
      <c r="E71">
        <v>877550</v>
      </c>
      <c r="F71">
        <v>0</v>
      </c>
      <c r="G71">
        <v>30</v>
      </c>
      <c r="H71">
        <v>30</v>
      </c>
      <c r="I71" t="s">
        <v>2</v>
      </c>
      <c r="J71" t="s">
        <v>3</v>
      </c>
      <c r="K71" s="1">
        <v>45208.515810185185</v>
      </c>
      <c r="L71" s="2">
        <v>25</v>
      </c>
      <c r="M71" s="2">
        <f t="shared" si="3"/>
        <v>5</v>
      </c>
      <c r="N71">
        <v>0</v>
      </c>
      <c r="O71" t="b">
        <f t="shared" si="4"/>
        <v>1</v>
      </c>
      <c r="P71" t="b">
        <f t="shared" si="5"/>
        <v>1</v>
      </c>
    </row>
    <row r="72" spans="1:16" x14ac:dyDescent="0.25">
      <c r="A72">
        <v>3323743</v>
      </c>
      <c r="B72">
        <v>900506</v>
      </c>
      <c r="C72" t="s">
        <v>0</v>
      </c>
      <c r="D72" t="s">
        <v>1</v>
      </c>
      <c r="E72">
        <v>877550</v>
      </c>
      <c r="F72">
        <v>5</v>
      </c>
      <c r="G72">
        <v>30</v>
      </c>
      <c r="H72">
        <v>35</v>
      </c>
      <c r="I72" t="s">
        <v>2</v>
      </c>
      <c r="J72" t="s">
        <v>3</v>
      </c>
      <c r="K72" s="1">
        <v>45208.823171296295</v>
      </c>
      <c r="L72" s="2">
        <v>35</v>
      </c>
      <c r="M72" s="2">
        <f t="shared" si="3"/>
        <v>0</v>
      </c>
      <c r="N72">
        <v>5</v>
      </c>
      <c r="O72" t="b">
        <f t="shared" si="4"/>
        <v>1</v>
      </c>
      <c r="P72" t="b">
        <f t="shared" si="5"/>
        <v>1</v>
      </c>
    </row>
    <row r="73" spans="1:16" x14ac:dyDescent="0.25">
      <c r="A73">
        <v>3323752</v>
      </c>
      <c r="B73">
        <v>900506</v>
      </c>
      <c r="C73" t="s">
        <v>0</v>
      </c>
      <c r="D73" t="s">
        <v>1</v>
      </c>
      <c r="E73">
        <v>877550</v>
      </c>
      <c r="F73">
        <v>0</v>
      </c>
      <c r="G73">
        <v>30</v>
      </c>
      <c r="H73">
        <v>30</v>
      </c>
      <c r="I73" t="s">
        <v>2</v>
      </c>
      <c r="J73" t="s">
        <v>3</v>
      </c>
      <c r="K73" s="1">
        <v>45208.842789351853</v>
      </c>
      <c r="L73" s="2">
        <v>25</v>
      </c>
      <c r="M73" s="2">
        <f t="shared" si="3"/>
        <v>5</v>
      </c>
      <c r="N73">
        <v>0</v>
      </c>
      <c r="O73" t="b">
        <f t="shared" si="4"/>
        <v>1</v>
      </c>
      <c r="P73" t="b">
        <f t="shared" si="5"/>
        <v>1</v>
      </c>
    </row>
    <row r="74" spans="1:16" x14ac:dyDescent="0.25">
      <c r="A74">
        <v>3324937</v>
      </c>
      <c r="B74">
        <v>900506</v>
      </c>
      <c r="C74" t="s">
        <v>0</v>
      </c>
      <c r="D74" t="s">
        <v>1</v>
      </c>
      <c r="E74">
        <v>877550</v>
      </c>
      <c r="F74">
        <v>5</v>
      </c>
      <c r="G74">
        <v>30</v>
      </c>
      <c r="H74">
        <v>35</v>
      </c>
      <c r="I74" t="s">
        <v>2</v>
      </c>
      <c r="J74" t="s">
        <v>3</v>
      </c>
      <c r="K74" s="1">
        <v>45213.457638888889</v>
      </c>
      <c r="L74" s="2">
        <v>35</v>
      </c>
      <c r="M74" s="2">
        <f t="shared" si="3"/>
        <v>0</v>
      </c>
      <c r="N74">
        <v>5</v>
      </c>
      <c r="O74" t="b">
        <f t="shared" si="4"/>
        <v>1</v>
      </c>
      <c r="P74" t="b">
        <f t="shared" si="5"/>
        <v>1</v>
      </c>
    </row>
    <row r="75" spans="1:16" x14ac:dyDescent="0.25">
      <c r="A75">
        <v>3329778</v>
      </c>
      <c r="B75">
        <v>900506</v>
      </c>
      <c r="C75" t="s">
        <v>0</v>
      </c>
      <c r="D75" t="s">
        <v>1</v>
      </c>
      <c r="E75">
        <v>877550</v>
      </c>
      <c r="F75">
        <v>0</v>
      </c>
      <c r="G75">
        <v>30</v>
      </c>
      <c r="H75">
        <v>30</v>
      </c>
      <c r="I75" t="s">
        <v>2</v>
      </c>
      <c r="J75" t="s">
        <v>3</v>
      </c>
      <c r="K75" s="1">
        <v>45225.927719907406</v>
      </c>
      <c r="L75" s="2">
        <v>25</v>
      </c>
      <c r="M75" s="2">
        <f t="shared" si="3"/>
        <v>5</v>
      </c>
      <c r="N75">
        <v>0</v>
      </c>
      <c r="O75" t="b">
        <f t="shared" si="4"/>
        <v>1</v>
      </c>
      <c r="P75" t="b">
        <f t="shared" si="5"/>
        <v>1</v>
      </c>
    </row>
    <row r="76" spans="1:16" x14ac:dyDescent="0.25">
      <c r="A76">
        <v>3330038</v>
      </c>
      <c r="B76">
        <v>900506</v>
      </c>
      <c r="C76" t="s">
        <v>0</v>
      </c>
      <c r="D76" t="s">
        <v>1</v>
      </c>
      <c r="E76">
        <v>877550</v>
      </c>
      <c r="F76">
        <v>5</v>
      </c>
      <c r="G76">
        <v>30</v>
      </c>
      <c r="H76">
        <v>35</v>
      </c>
      <c r="I76" t="s">
        <v>2</v>
      </c>
      <c r="J76" t="s">
        <v>3</v>
      </c>
      <c r="K76" s="1">
        <v>45227.478310185186</v>
      </c>
      <c r="L76" s="2">
        <v>35</v>
      </c>
      <c r="M76" s="2">
        <f t="shared" si="3"/>
        <v>0</v>
      </c>
      <c r="N76">
        <v>5</v>
      </c>
      <c r="O76" t="b">
        <f t="shared" si="4"/>
        <v>1</v>
      </c>
      <c r="P76" t="b">
        <f t="shared" si="5"/>
        <v>1</v>
      </c>
    </row>
    <row r="77" spans="1:16" x14ac:dyDescent="0.25">
      <c r="A77">
        <v>3338364</v>
      </c>
      <c r="B77">
        <v>900506</v>
      </c>
      <c r="C77" t="s">
        <v>0</v>
      </c>
      <c r="D77" t="s">
        <v>1</v>
      </c>
      <c r="E77">
        <v>877550</v>
      </c>
      <c r="F77">
        <v>0</v>
      </c>
      <c r="G77">
        <v>30</v>
      </c>
      <c r="H77">
        <v>30</v>
      </c>
      <c r="I77" t="s">
        <v>2</v>
      </c>
      <c r="J77" t="s">
        <v>3</v>
      </c>
      <c r="K77" s="1">
        <v>45233.485023148147</v>
      </c>
      <c r="L77" s="2">
        <v>0</v>
      </c>
      <c r="M77" s="2">
        <f t="shared" si="3"/>
        <v>30</v>
      </c>
      <c r="N77">
        <v>0</v>
      </c>
      <c r="O77" t="b">
        <f t="shared" si="4"/>
        <v>1</v>
      </c>
      <c r="P77" t="b">
        <f t="shared" si="5"/>
        <v>1</v>
      </c>
    </row>
    <row r="78" spans="1:16" x14ac:dyDescent="0.25">
      <c r="A78">
        <v>3340051</v>
      </c>
      <c r="B78">
        <v>900506</v>
      </c>
      <c r="C78" t="s">
        <v>0</v>
      </c>
      <c r="D78" t="s">
        <v>1</v>
      </c>
      <c r="E78">
        <v>877550</v>
      </c>
      <c r="F78">
        <v>30</v>
      </c>
      <c r="G78">
        <v>30</v>
      </c>
      <c r="H78">
        <v>0</v>
      </c>
      <c r="I78" t="s">
        <v>4</v>
      </c>
      <c r="J78" t="s">
        <v>5</v>
      </c>
      <c r="K78" s="1">
        <v>45236.572164351855</v>
      </c>
      <c r="L78" s="2">
        <v>0</v>
      </c>
      <c r="M78" s="2">
        <f t="shared" si="3"/>
        <v>0</v>
      </c>
      <c r="N78">
        <v>30</v>
      </c>
      <c r="O78" t="b">
        <f t="shared" si="4"/>
        <v>1</v>
      </c>
      <c r="P78" t="b">
        <f t="shared" si="5"/>
        <v>1</v>
      </c>
    </row>
    <row r="79" spans="1:16" x14ac:dyDescent="0.25">
      <c r="A79">
        <v>3342026</v>
      </c>
      <c r="B79">
        <v>900506</v>
      </c>
      <c r="C79" t="s">
        <v>0</v>
      </c>
      <c r="D79" t="s">
        <v>1</v>
      </c>
      <c r="E79">
        <v>877550</v>
      </c>
      <c r="F79">
        <v>0</v>
      </c>
      <c r="G79">
        <v>30</v>
      </c>
      <c r="H79">
        <v>30</v>
      </c>
      <c r="I79" t="s">
        <v>2</v>
      </c>
      <c r="J79" t="s">
        <v>3</v>
      </c>
      <c r="K79" s="1">
        <v>45237.859085648146</v>
      </c>
      <c r="L79" s="2">
        <v>24</v>
      </c>
      <c r="M79" s="2">
        <f t="shared" si="3"/>
        <v>6</v>
      </c>
      <c r="N79">
        <v>0</v>
      </c>
      <c r="O79" t="b">
        <f t="shared" si="4"/>
        <v>1</v>
      </c>
      <c r="P79" t="b">
        <f t="shared" si="5"/>
        <v>1</v>
      </c>
    </row>
    <row r="80" spans="1:16" x14ac:dyDescent="0.25">
      <c r="A80">
        <v>3343250</v>
      </c>
      <c r="B80">
        <v>900506</v>
      </c>
      <c r="C80" t="s">
        <v>0</v>
      </c>
      <c r="D80" t="s">
        <v>1</v>
      </c>
      <c r="E80">
        <v>877550</v>
      </c>
      <c r="F80">
        <v>6</v>
      </c>
      <c r="G80">
        <v>30</v>
      </c>
      <c r="H80">
        <v>36</v>
      </c>
      <c r="I80" t="s">
        <v>2</v>
      </c>
      <c r="J80" t="s">
        <v>3</v>
      </c>
      <c r="K80" s="1">
        <v>45239.923055555555</v>
      </c>
      <c r="L80" s="2">
        <v>5</v>
      </c>
      <c r="M80" s="2">
        <f t="shared" si="3"/>
        <v>31</v>
      </c>
      <c r="N80">
        <v>6</v>
      </c>
      <c r="O80" t="b">
        <f t="shared" si="4"/>
        <v>1</v>
      </c>
      <c r="P80" t="b">
        <f t="shared" si="5"/>
        <v>1</v>
      </c>
    </row>
    <row r="81" spans="1:16" x14ac:dyDescent="0.25">
      <c r="A81">
        <v>3344751</v>
      </c>
      <c r="B81">
        <v>900506</v>
      </c>
      <c r="C81" t="s">
        <v>0</v>
      </c>
      <c r="D81" t="s">
        <v>1</v>
      </c>
      <c r="E81">
        <v>877550</v>
      </c>
      <c r="F81">
        <v>31</v>
      </c>
      <c r="G81">
        <v>31</v>
      </c>
      <c r="H81">
        <v>0</v>
      </c>
      <c r="I81" t="s">
        <v>4</v>
      </c>
      <c r="J81" t="s">
        <v>5</v>
      </c>
      <c r="K81" s="1">
        <v>45243.626168981478</v>
      </c>
      <c r="L81" s="2">
        <v>0</v>
      </c>
      <c r="M81" s="2">
        <f t="shared" si="3"/>
        <v>0</v>
      </c>
      <c r="N81">
        <v>31</v>
      </c>
      <c r="O81" t="b">
        <f t="shared" si="4"/>
        <v>1</v>
      </c>
      <c r="P81" t="b">
        <f t="shared" si="5"/>
        <v>1</v>
      </c>
    </row>
    <row r="82" spans="1:16" s="4" customFormat="1" x14ac:dyDescent="0.25">
      <c r="A82" s="4">
        <v>3345271</v>
      </c>
      <c r="B82" s="4">
        <v>900506</v>
      </c>
      <c r="C82" s="4" t="s">
        <v>0</v>
      </c>
      <c r="D82" s="4" t="s">
        <v>1</v>
      </c>
      <c r="E82" s="4">
        <v>877550</v>
      </c>
      <c r="F82" s="4">
        <v>0</v>
      </c>
      <c r="G82" s="4">
        <v>30</v>
      </c>
      <c r="H82" s="4">
        <v>30</v>
      </c>
      <c r="I82" s="4" t="s">
        <v>2</v>
      </c>
      <c r="J82" s="4" t="s">
        <v>3</v>
      </c>
      <c r="K82" s="5">
        <v>45243.940266203703</v>
      </c>
      <c r="L82" s="6">
        <v>24</v>
      </c>
      <c r="M82" s="6">
        <f t="shared" si="3"/>
        <v>6</v>
      </c>
      <c r="N82" s="4">
        <v>0</v>
      </c>
      <c r="O82" s="4" t="b">
        <f t="shared" si="4"/>
        <v>1</v>
      </c>
      <c r="P82" s="4" t="b">
        <f t="shared" si="5"/>
        <v>1</v>
      </c>
    </row>
    <row r="83" spans="1:16" s="4" customFormat="1" x14ac:dyDescent="0.25">
      <c r="A83" s="4">
        <v>3389393</v>
      </c>
      <c r="B83" s="4">
        <v>900506</v>
      </c>
      <c r="C83" s="4" t="s">
        <v>0</v>
      </c>
      <c r="D83" s="4" t="s">
        <v>1</v>
      </c>
      <c r="E83" s="4">
        <v>877550</v>
      </c>
      <c r="F83" s="4">
        <v>6</v>
      </c>
      <c r="G83" s="4">
        <v>30</v>
      </c>
      <c r="H83" s="4">
        <v>36</v>
      </c>
      <c r="I83" s="4" t="s">
        <v>2</v>
      </c>
      <c r="J83" s="4" t="s">
        <v>3</v>
      </c>
      <c r="K83" s="5">
        <v>45341.737581018519</v>
      </c>
      <c r="L83" s="6">
        <v>36</v>
      </c>
      <c r="M83" s="6">
        <f t="shared" si="3"/>
        <v>0</v>
      </c>
      <c r="N83" s="4">
        <v>6</v>
      </c>
      <c r="O83" s="4" t="b">
        <f t="shared" si="4"/>
        <v>1</v>
      </c>
      <c r="P83" s="4" t="b">
        <f t="shared" si="5"/>
        <v>1</v>
      </c>
    </row>
    <row r="84" spans="1:16" x14ac:dyDescent="0.25">
      <c r="A84">
        <v>3398070</v>
      </c>
      <c r="B84">
        <v>900506</v>
      </c>
      <c r="C84" t="s">
        <v>0</v>
      </c>
      <c r="D84" t="s">
        <v>1</v>
      </c>
      <c r="E84">
        <v>877550</v>
      </c>
      <c r="F84">
        <v>0</v>
      </c>
      <c r="G84">
        <v>30</v>
      </c>
      <c r="H84">
        <v>30</v>
      </c>
      <c r="I84" t="s">
        <v>2</v>
      </c>
      <c r="J84" t="s">
        <v>3</v>
      </c>
      <c r="K84" s="1">
        <v>45352.879699074074</v>
      </c>
      <c r="L84" s="2">
        <v>27</v>
      </c>
      <c r="M84" s="2">
        <f t="shared" si="3"/>
        <v>3</v>
      </c>
      <c r="N84">
        <v>0</v>
      </c>
      <c r="O84" t="b">
        <f t="shared" si="4"/>
        <v>1</v>
      </c>
      <c r="P84" t="b">
        <f t="shared" si="5"/>
        <v>1</v>
      </c>
    </row>
    <row r="85" spans="1:16" x14ac:dyDescent="0.25">
      <c r="A85">
        <v>3406829</v>
      </c>
      <c r="B85">
        <v>900506</v>
      </c>
      <c r="C85" t="s">
        <v>0</v>
      </c>
      <c r="D85" t="s">
        <v>1</v>
      </c>
      <c r="E85">
        <v>877550</v>
      </c>
      <c r="F85">
        <v>3</v>
      </c>
      <c r="G85">
        <v>30</v>
      </c>
      <c r="H85">
        <v>33</v>
      </c>
      <c r="I85" t="s">
        <v>2</v>
      </c>
      <c r="J85" t="s">
        <v>3</v>
      </c>
      <c r="K85" s="1">
        <v>45364.357627314814</v>
      </c>
      <c r="L85" s="2">
        <v>29</v>
      </c>
      <c r="M85" s="2">
        <f t="shared" si="3"/>
        <v>4</v>
      </c>
      <c r="N85">
        <v>3</v>
      </c>
      <c r="O85" t="b">
        <f t="shared" si="4"/>
        <v>1</v>
      </c>
      <c r="P85" t="b">
        <f t="shared" si="5"/>
        <v>1</v>
      </c>
    </row>
    <row r="86" spans="1:16" x14ac:dyDescent="0.25">
      <c r="A86">
        <v>3407030</v>
      </c>
      <c r="B86">
        <v>900506</v>
      </c>
      <c r="C86" t="s">
        <v>0</v>
      </c>
      <c r="D86" t="s">
        <v>1</v>
      </c>
      <c r="E86">
        <v>877550</v>
      </c>
      <c r="F86">
        <v>4</v>
      </c>
      <c r="G86">
        <v>30</v>
      </c>
      <c r="H86">
        <v>34</v>
      </c>
      <c r="I86" t="s">
        <v>2</v>
      </c>
      <c r="J86" t="s">
        <v>3</v>
      </c>
      <c r="K86" s="1">
        <v>45364.595127314817</v>
      </c>
      <c r="L86" s="2">
        <v>33</v>
      </c>
      <c r="M86" s="2">
        <f t="shared" si="3"/>
        <v>1</v>
      </c>
      <c r="N86">
        <v>4</v>
      </c>
      <c r="O86" t="b">
        <f t="shared" si="4"/>
        <v>1</v>
      </c>
      <c r="P86" t="b">
        <f t="shared" si="5"/>
        <v>1</v>
      </c>
    </row>
    <row r="87" spans="1:16" x14ac:dyDescent="0.25">
      <c r="A87">
        <v>3407158</v>
      </c>
      <c r="B87">
        <v>900506</v>
      </c>
      <c r="C87" t="s">
        <v>0</v>
      </c>
      <c r="D87" t="s">
        <v>1</v>
      </c>
      <c r="E87">
        <v>877550</v>
      </c>
      <c r="F87">
        <v>1</v>
      </c>
      <c r="G87">
        <v>30</v>
      </c>
      <c r="H87">
        <v>31</v>
      </c>
      <c r="I87" t="s">
        <v>2</v>
      </c>
      <c r="J87" t="s">
        <v>3</v>
      </c>
      <c r="K87" s="1">
        <v>45364.725127314814</v>
      </c>
      <c r="L87" s="2">
        <v>26</v>
      </c>
      <c r="M87" s="2">
        <f t="shared" si="3"/>
        <v>5</v>
      </c>
      <c r="N87">
        <v>1</v>
      </c>
      <c r="O87" t="b">
        <f t="shared" si="4"/>
        <v>1</v>
      </c>
      <c r="P87" t="b">
        <f t="shared" si="5"/>
        <v>1</v>
      </c>
    </row>
    <row r="88" spans="1:16" x14ac:dyDescent="0.25">
      <c r="A88">
        <v>3407734</v>
      </c>
      <c r="B88">
        <v>900506</v>
      </c>
      <c r="C88" t="s">
        <v>0</v>
      </c>
      <c r="D88" t="s">
        <v>1</v>
      </c>
      <c r="E88">
        <v>877550</v>
      </c>
      <c r="F88">
        <v>5</v>
      </c>
      <c r="G88">
        <v>30</v>
      </c>
      <c r="H88">
        <v>35</v>
      </c>
      <c r="I88" t="s">
        <v>2</v>
      </c>
      <c r="J88" t="s">
        <v>3</v>
      </c>
      <c r="K88" s="1">
        <v>45365.861840277779</v>
      </c>
      <c r="L88" s="2">
        <v>35</v>
      </c>
      <c r="M88" s="2">
        <f t="shared" si="3"/>
        <v>0</v>
      </c>
      <c r="N88">
        <v>5</v>
      </c>
      <c r="O88" t="b">
        <f t="shared" si="4"/>
        <v>1</v>
      </c>
      <c r="P88" t="b">
        <f t="shared" si="5"/>
        <v>1</v>
      </c>
    </row>
    <row r="89" spans="1:16" x14ac:dyDescent="0.25">
      <c r="A89">
        <v>3407768</v>
      </c>
      <c r="B89">
        <v>900506</v>
      </c>
      <c r="C89" t="s">
        <v>0</v>
      </c>
      <c r="D89" t="s">
        <v>1</v>
      </c>
      <c r="E89">
        <v>877550</v>
      </c>
      <c r="F89">
        <v>0</v>
      </c>
      <c r="G89">
        <v>30</v>
      </c>
      <c r="H89">
        <v>30</v>
      </c>
      <c r="I89" t="s">
        <v>2</v>
      </c>
      <c r="J89" t="s">
        <v>3</v>
      </c>
      <c r="K89" s="1">
        <v>45365.900925925926</v>
      </c>
      <c r="L89" s="2">
        <v>28</v>
      </c>
      <c r="M89" s="2">
        <f t="shared" si="3"/>
        <v>2</v>
      </c>
      <c r="N89">
        <v>0</v>
      </c>
      <c r="O89" t="b">
        <f t="shared" si="4"/>
        <v>1</v>
      </c>
      <c r="P89" t="b">
        <f t="shared" si="5"/>
        <v>1</v>
      </c>
    </row>
    <row r="90" spans="1:16" x14ac:dyDescent="0.25">
      <c r="A90">
        <v>3411926</v>
      </c>
      <c r="B90">
        <v>900506</v>
      </c>
      <c r="C90" t="s">
        <v>0</v>
      </c>
      <c r="D90" t="s">
        <v>1</v>
      </c>
      <c r="E90">
        <v>877550</v>
      </c>
      <c r="F90">
        <v>2</v>
      </c>
      <c r="G90">
        <v>30</v>
      </c>
      <c r="H90">
        <v>32</v>
      </c>
      <c r="I90" t="s">
        <v>2</v>
      </c>
      <c r="J90" t="s">
        <v>3</v>
      </c>
      <c r="K90" s="1">
        <v>45374.862071759257</v>
      </c>
      <c r="L90" s="2">
        <v>31</v>
      </c>
      <c r="M90" s="2">
        <f t="shared" si="3"/>
        <v>1</v>
      </c>
      <c r="N90">
        <v>2</v>
      </c>
      <c r="O90" t="b">
        <f t="shared" si="4"/>
        <v>1</v>
      </c>
      <c r="P90" t="b">
        <f t="shared" si="5"/>
        <v>1</v>
      </c>
    </row>
    <row r="91" spans="1:16" x14ac:dyDescent="0.25">
      <c r="A91">
        <v>3413580</v>
      </c>
      <c r="B91">
        <v>900506</v>
      </c>
      <c r="C91" t="s">
        <v>0</v>
      </c>
      <c r="D91" t="s">
        <v>1</v>
      </c>
      <c r="E91">
        <v>877550</v>
      </c>
      <c r="F91">
        <v>1</v>
      </c>
      <c r="G91">
        <v>30</v>
      </c>
      <c r="H91">
        <v>31</v>
      </c>
      <c r="I91" t="s">
        <v>2</v>
      </c>
      <c r="J91" t="s">
        <v>3</v>
      </c>
      <c r="K91" s="1">
        <v>45377.502465277779</v>
      </c>
      <c r="L91" s="2">
        <v>29</v>
      </c>
      <c r="M91" s="2">
        <f t="shared" si="3"/>
        <v>2</v>
      </c>
      <c r="N91">
        <v>1</v>
      </c>
      <c r="O91" t="b">
        <f t="shared" si="4"/>
        <v>1</v>
      </c>
      <c r="P91" t="b">
        <f t="shared" si="5"/>
        <v>1</v>
      </c>
    </row>
    <row r="92" spans="1:16" x14ac:dyDescent="0.25">
      <c r="A92">
        <v>3416954</v>
      </c>
      <c r="B92">
        <v>900506</v>
      </c>
      <c r="C92" t="s">
        <v>0</v>
      </c>
      <c r="D92" t="s">
        <v>1</v>
      </c>
      <c r="E92">
        <v>877550</v>
      </c>
      <c r="F92">
        <v>2</v>
      </c>
      <c r="G92">
        <v>30</v>
      </c>
      <c r="H92">
        <v>32</v>
      </c>
      <c r="I92" t="s">
        <v>2</v>
      </c>
      <c r="J92" t="s">
        <v>3</v>
      </c>
      <c r="K92" s="1">
        <v>45383.97861111111</v>
      </c>
      <c r="L92" s="2">
        <v>30</v>
      </c>
      <c r="M92" s="2">
        <f t="shared" si="3"/>
        <v>2</v>
      </c>
      <c r="N92">
        <v>2</v>
      </c>
      <c r="O92" t="b">
        <f t="shared" si="4"/>
        <v>1</v>
      </c>
      <c r="P92" t="b">
        <f t="shared" si="5"/>
        <v>1</v>
      </c>
    </row>
    <row r="93" spans="1:16" x14ac:dyDescent="0.25">
      <c r="A93">
        <v>3424143</v>
      </c>
      <c r="B93">
        <v>900506</v>
      </c>
      <c r="C93" t="s">
        <v>0</v>
      </c>
      <c r="D93" t="s">
        <v>1</v>
      </c>
      <c r="E93">
        <v>877550</v>
      </c>
      <c r="F93">
        <v>2</v>
      </c>
      <c r="G93">
        <v>30</v>
      </c>
      <c r="H93">
        <v>32</v>
      </c>
      <c r="I93" t="s">
        <v>2</v>
      </c>
      <c r="J93" t="s">
        <v>3</v>
      </c>
      <c r="K93" s="1">
        <v>45395.691388888888</v>
      </c>
      <c r="L93" s="2">
        <v>27</v>
      </c>
      <c r="M93" s="2">
        <f t="shared" si="3"/>
        <v>5</v>
      </c>
      <c r="N93">
        <v>2</v>
      </c>
      <c r="O93" t="b">
        <f t="shared" si="4"/>
        <v>1</v>
      </c>
      <c r="P93" t="b">
        <f t="shared" si="5"/>
        <v>1</v>
      </c>
    </row>
    <row r="94" spans="1:16" x14ac:dyDescent="0.25">
      <c r="A94">
        <v>3427411</v>
      </c>
      <c r="B94">
        <v>900506</v>
      </c>
      <c r="C94" t="s">
        <v>0</v>
      </c>
      <c r="D94" t="s">
        <v>1</v>
      </c>
      <c r="E94">
        <v>877550</v>
      </c>
      <c r="F94">
        <v>5</v>
      </c>
      <c r="G94">
        <v>30</v>
      </c>
      <c r="H94">
        <v>35</v>
      </c>
      <c r="I94" t="s">
        <v>2</v>
      </c>
      <c r="J94" t="s">
        <v>3</v>
      </c>
      <c r="K94" s="1">
        <v>45402.404374999998</v>
      </c>
      <c r="L94" s="2">
        <v>31</v>
      </c>
      <c r="M94" s="2">
        <f t="shared" si="3"/>
        <v>4</v>
      </c>
      <c r="N94">
        <v>5</v>
      </c>
      <c r="O94" t="b">
        <f t="shared" si="4"/>
        <v>1</v>
      </c>
      <c r="P94" t="b">
        <f t="shared" si="5"/>
        <v>1</v>
      </c>
    </row>
    <row r="95" spans="1:16" x14ac:dyDescent="0.25">
      <c r="A95">
        <v>3428931</v>
      </c>
      <c r="B95">
        <v>900506</v>
      </c>
      <c r="C95" t="s">
        <v>0</v>
      </c>
      <c r="D95" t="s">
        <v>1</v>
      </c>
      <c r="E95">
        <v>877550</v>
      </c>
      <c r="F95">
        <v>4</v>
      </c>
      <c r="G95">
        <v>30</v>
      </c>
      <c r="H95">
        <v>34</v>
      </c>
      <c r="I95" t="s">
        <v>2</v>
      </c>
      <c r="J95" t="s">
        <v>3</v>
      </c>
      <c r="K95" s="1">
        <v>45405.750486111108</v>
      </c>
      <c r="L95" s="2">
        <v>34</v>
      </c>
      <c r="M95" s="2">
        <f t="shared" si="3"/>
        <v>0</v>
      </c>
      <c r="N95">
        <v>4</v>
      </c>
      <c r="O95" t="b">
        <f t="shared" si="4"/>
        <v>1</v>
      </c>
      <c r="P95" t="b">
        <f t="shared" si="5"/>
        <v>1</v>
      </c>
    </row>
    <row r="96" spans="1:16" x14ac:dyDescent="0.25">
      <c r="A96">
        <v>3433911</v>
      </c>
      <c r="B96">
        <v>900506</v>
      </c>
      <c r="C96" t="s">
        <v>0</v>
      </c>
      <c r="D96" t="s">
        <v>1</v>
      </c>
      <c r="E96">
        <v>877550</v>
      </c>
      <c r="F96">
        <v>0</v>
      </c>
      <c r="G96">
        <v>30</v>
      </c>
      <c r="H96">
        <v>30</v>
      </c>
      <c r="I96" t="s">
        <v>2</v>
      </c>
      <c r="J96" t="s">
        <v>3</v>
      </c>
      <c r="K96" s="1">
        <v>45415.787523148145</v>
      </c>
      <c r="L96" s="2">
        <v>30</v>
      </c>
      <c r="M96" s="2">
        <f t="shared" si="3"/>
        <v>0</v>
      </c>
      <c r="N96">
        <v>0</v>
      </c>
      <c r="O96" t="b">
        <f t="shared" si="4"/>
        <v>1</v>
      </c>
      <c r="P96" t="b">
        <f t="shared" si="5"/>
        <v>1</v>
      </c>
    </row>
    <row r="97" spans="1:16" s="4" customFormat="1" x14ac:dyDescent="0.25">
      <c r="A97" s="4">
        <v>3436027</v>
      </c>
      <c r="B97" s="4">
        <v>900506</v>
      </c>
      <c r="C97" s="4" t="s">
        <v>0</v>
      </c>
      <c r="D97" s="4" t="s">
        <v>1</v>
      </c>
      <c r="E97" s="4">
        <v>877550</v>
      </c>
      <c r="F97" s="4">
        <v>0</v>
      </c>
      <c r="G97" s="4">
        <v>30</v>
      </c>
      <c r="H97" s="4">
        <v>30</v>
      </c>
      <c r="I97" s="4" t="s">
        <v>2</v>
      </c>
      <c r="J97" s="4" t="s">
        <v>3</v>
      </c>
      <c r="K97" s="5">
        <v>45419.023368055554</v>
      </c>
      <c r="L97" s="6">
        <v>37</v>
      </c>
      <c r="M97" s="6">
        <f t="shared" si="3"/>
        <v>-7</v>
      </c>
      <c r="N97" s="4">
        <v>0</v>
      </c>
      <c r="O97" s="4" t="b">
        <f t="shared" si="4"/>
        <v>0</v>
      </c>
      <c r="P97" s="4" t="b">
        <f t="shared" si="5"/>
        <v>1</v>
      </c>
    </row>
    <row r="98" spans="1:16" s="4" customFormat="1" x14ac:dyDescent="0.25">
      <c r="A98" s="4">
        <v>3439460</v>
      </c>
      <c r="B98" s="4">
        <v>900506</v>
      </c>
      <c r="C98" s="4" t="s">
        <v>0</v>
      </c>
      <c r="D98" s="4" t="s">
        <v>1</v>
      </c>
      <c r="E98" s="4">
        <v>877550</v>
      </c>
      <c r="F98" s="4">
        <v>1</v>
      </c>
      <c r="G98" s="4">
        <v>30</v>
      </c>
      <c r="H98" s="4">
        <v>31</v>
      </c>
      <c r="I98" s="4" t="s">
        <v>2</v>
      </c>
      <c r="J98" s="4" t="s">
        <v>3</v>
      </c>
      <c r="K98" s="5">
        <v>45426.737500000003</v>
      </c>
      <c r="L98" s="6">
        <v>31</v>
      </c>
      <c r="M98" s="6">
        <f t="shared" si="3"/>
        <v>0</v>
      </c>
      <c r="N98" s="4">
        <v>-7</v>
      </c>
      <c r="O98" s="4" t="b">
        <f t="shared" si="4"/>
        <v>1</v>
      </c>
      <c r="P98" s="4" t="b">
        <f t="shared" si="5"/>
        <v>0</v>
      </c>
    </row>
    <row r="99" spans="1:16" x14ac:dyDescent="0.25">
      <c r="A99">
        <v>3441723</v>
      </c>
      <c r="B99">
        <v>900506</v>
      </c>
      <c r="C99" t="s">
        <v>0</v>
      </c>
      <c r="D99" t="s">
        <v>1</v>
      </c>
      <c r="E99">
        <v>877550</v>
      </c>
      <c r="F99">
        <v>0</v>
      </c>
      <c r="G99">
        <v>30</v>
      </c>
      <c r="H99">
        <v>30</v>
      </c>
      <c r="I99" t="s">
        <v>2</v>
      </c>
      <c r="J99" t="s">
        <v>3</v>
      </c>
      <c r="K99" s="1">
        <v>45433.476504629631</v>
      </c>
      <c r="L99" s="2">
        <v>27</v>
      </c>
      <c r="M99" s="2">
        <f t="shared" si="3"/>
        <v>3</v>
      </c>
      <c r="N99">
        <v>0</v>
      </c>
      <c r="O99" t="b">
        <f t="shared" si="4"/>
        <v>1</v>
      </c>
      <c r="P99" t="b">
        <f t="shared" si="5"/>
        <v>1</v>
      </c>
    </row>
    <row r="100" spans="1:16" s="4" customFormat="1" x14ac:dyDescent="0.25">
      <c r="A100" s="4">
        <v>3468954</v>
      </c>
      <c r="B100" s="4">
        <v>900506</v>
      </c>
      <c r="C100" s="4" t="s">
        <v>0</v>
      </c>
      <c r="D100" s="4" t="s">
        <v>1</v>
      </c>
      <c r="E100" s="4">
        <v>877550</v>
      </c>
      <c r="F100" s="4">
        <v>3</v>
      </c>
      <c r="G100" s="4">
        <v>30</v>
      </c>
      <c r="H100" s="4">
        <v>33</v>
      </c>
      <c r="I100" s="4" t="s">
        <v>2</v>
      </c>
      <c r="J100" s="4" t="s">
        <v>3</v>
      </c>
      <c r="K100" s="5">
        <v>45451.613182870373</v>
      </c>
      <c r="L100" s="6">
        <v>41</v>
      </c>
      <c r="M100" s="6">
        <f t="shared" si="3"/>
        <v>-8</v>
      </c>
      <c r="N100" s="4">
        <v>3</v>
      </c>
      <c r="O100" s="4" t="b">
        <f t="shared" si="4"/>
        <v>0</v>
      </c>
      <c r="P100" s="4" t="b">
        <f t="shared" si="5"/>
        <v>1</v>
      </c>
    </row>
    <row r="101" spans="1:16" s="4" customFormat="1" x14ac:dyDescent="0.25">
      <c r="A101" s="4">
        <v>3471297</v>
      </c>
      <c r="B101" s="4">
        <v>900506</v>
      </c>
      <c r="C101" s="4" t="s">
        <v>0</v>
      </c>
      <c r="D101" s="4" t="s">
        <v>1</v>
      </c>
      <c r="E101" s="4">
        <v>877550</v>
      </c>
      <c r="F101" s="4">
        <v>3</v>
      </c>
      <c r="G101" s="4">
        <v>30</v>
      </c>
      <c r="H101" s="4">
        <v>33</v>
      </c>
      <c r="I101" s="4" t="s">
        <v>2</v>
      </c>
      <c r="J101" s="4" t="s">
        <v>3</v>
      </c>
      <c r="K101" s="5">
        <v>45455.815775462965</v>
      </c>
      <c r="L101" s="6">
        <v>36</v>
      </c>
      <c r="M101" s="6">
        <f t="shared" si="3"/>
        <v>-3</v>
      </c>
      <c r="N101" s="4">
        <v>-8</v>
      </c>
      <c r="O101" s="4" t="b">
        <f t="shared" si="4"/>
        <v>0</v>
      </c>
      <c r="P101" s="4" t="b">
        <f t="shared" si="5"/>
        <v>0</v>
      </c>
    </row>
    <row r="102" spans="1:16" x14ac:dyDescent="0.25">
      <c r="A102">
        <v>3473721</v>
      </c>
      <c r="B102">
        <v>900506</v>
      </c>
      <c r="C102" t="s">
        <v>0</v>
      </c>
      <c r="D102" t="s">
        <v>1</v>
      </c>
      <c r="E102">
        <v>877550</v>
      </c>
      <c r="F102">
        <v>0</v>
      </c>
      <c r="G102">
        <v>30</v>
      </c>
      <c r="H102">
        <v>30</v>
      </c>
      <c r="I102" t="s">
        <v>2</v>
      </c>
      <c r="J102" t="s">
        <v>3</v>
      </c>
      <c r="K102" s="1">
        <v>45461.570613425924</v>
      </c>
      <c r="L102" s="2">
        <v>29</v>
      </c>
      <c r="M102" s="2">
        <f t="shared" si="3"/>
        <v>1</v>
      </c>
      <c r="N102">
        <v>-3</v>
      </c>
      <c r="O102" t="b">
        <f t="shared" si="4"/>
        <v>1</v>
      </c>
      <c r="P102" t="b">
        <f t="shared" si="5"/>
        <v>0</v>
      </c>
    </row>
    <row r="103" spans="1:16" x14ac:dyDescent="0.25">
      <c r="A103">
        <v>3477011</v>
      </c>
      <c r="B103">
        <v>900506</v>
      </c>
      <c r="C103" t="s">
        <v>0</v>
      </c>
      <c r="D103" t="s">
        <v>1</v>
      </c>
      <c r="E103">
        <v>877550</v>
      </c>
      <c r="F103">
        <v>1</v>
      </c>
      <c r="G103">
        <v>30</v>
      </c>
      <c r="H103">
        <v>31</v>
      </c>
      <c r="I103" t="s">
        <v>2</v>
      </c>
      <c r="J103" t="s">
        <v>3</v>
      </c>
      <c r="K103" s="1">
        <v>45474.065462962964</v>
      </c>
      <c r="L103" s="2">
        <v>31</v>
      </c>
      <c r="M103" s="2">
        <f t="shared" si="3"/>
        <v>0</v>
      </c>
      <c r="N103">
        <v>1</v>
      </c>
      <c r="O103" t="b">
        <f t="shared" si="4"/>
        <v>1</v>
      </c>
      <c r="P103" t="b">
        <f t="shared" si="5"/>
        <v>1</v>
      </c>
    </row>
    <row r="104" spans="1:16" x14ac:dyDescent="0.25">
      <c r="A104">
        <v>3483041</v>
      </c>
      <c r="B104">
        <v>900506</v>
      </c>
      <c r="C104" t="s">
        <v>0</v>
      </c>
      <c r="D104" t="s">
        <v>1</v>
      </c>
      <c r="E104">
        <v>877550</v>
      </c>
      <c r="F104">
        <v>0</v>
      </c>
      <c r="G104">
        <v>30</v>
      </c>
      <c r="H104">
        <v>30</v>
      </c>
      <c r="I104" t="s">
        <v>2</v>
      </c>
      <c r="J104" t="s">
        <v>3</v>
      </c>
      <c r="K104" s="1">
        <v>45475.109490740739</v>
      </c>
      <c r="L104" s="2">
        <v>26</v>
      </c>
      <c r="M104" s="2">
        <f t="shared" si="3"/>
        <v>4</v>
      </c>
      <c r="N104">
        <v>0</v>
      </c>
      <c r="O104" t="b">
        <f t="shared" si="4"/>
        <v>1</v>
      </c>
      <c r="P104" t="b">
        <f t="shared" si="5"/>
        <v>1</v>
      </c>
    </row>
    <row r="105" spans="1:16" x14ac:dyDescent="0.25">
      <c r="A105">
        <v>3486673</v>
      </c>
      <c r="B105">
        <v>900506</v>
      </c>
      <c r="C105" t="s">
        <v>0</v>
      </c>
      <c r="D105" t="s">
        <v>1</v>
      </c>
      <c r="E105">
        <v>877550</v>
      </c>
      <c r="F105">
        <v>4</v>
      </c>
      <c r="G105">
        <v>30</v>
      </c>
      <c r="H105">
        <v>34</v>
      </c>
      <c r="I105" t="s">
        <v>2</v>
      </c>
      <c r="J105" t="s">
        <v>3</v>
      </c>
      <c r="K105" s="1">
        <v>45487.657708333332</v>
      </c>
      <c r="L105" s="2">
        <v>31</v>
      </c>
      <c r="M105" s="2">
        <f t="shared" si="3"/>
        <v>3</v>
      </c>
      <c r="N105">
        <v>4</v>
      </c>
      <c r="O105" t="b">
        <f t="shared" si="4"/>
        <v>1</v>
      </c>
      <c r="P105" t="b">
        <f t="shared" si="5"/>
        <v>1</v>
      </c>
    </row>
    <row r="106" spans="1:16" x14ac:dyDescent="0.25">
      <c r="A106">
        <v>3496259</v>
      </c>
      <c r="B106">
        <v>900506</v>
      </c>
      <c r="C106" t="s">
        <v>0</v>
      </c>
      <c r="D106" t="s">
        <v>1</v>
      </c>
      <c r="E106">
        <v>877550</v>
      </c>
      <c r="F106">
        <v>3</v>
      </c>
      <c r="G106">
        <v>30</v>
      </c>
      <c r="H106">
        <v>33</v>
      </c>
      <c r="I106" t="s">
        <v>2</v>
      </c>
      <c r="J106" t="s">
        <v>3</v>
      </c>
      <c r="K106" s="1">
        <v>45508.679212962961</v>
      </c>
      <c r="L106" s="2">
        <v>33</v>
      </c>
      <c r="M106" s="2">
        <f t="shared" si="3"/>
        <v>0</v>
      </c>
      <c r="N106">
        <v>3</v>
      </c>
      <c r="O106" t="b">
        <f t="shared" si="4"/>
        <v>1</v>
      </c>
      <c r="P106" t="b">
        <f t="shared" si="5"/>
        <v>1</v>
      </c>
    </row>
    <row r="107" spans="1:16" x14ac:dyDescent="0.25">
      <c r="A107">
        <v>3503663</v>
      </c>
      <c r="B107">
        <v>900506</v>
      </c>
      <c r="C107" t="s">
        <v>0</v>
      </c>
      <c r="D107" t="s">
        <v>1</v>
      </c>
      <c r="E107">
        <v>877550</v>
      </c>
      <c r="F107">
        <v>0</v>
      </c>
      <c r="G107">
        <v>30</v>
      </c>
      <c r="H107">
        <v>30</v>
      </c>
      <c r="I107" t="s">
        <v>2</v>
      </c>
      <c r="J107" t="s">
        <v>3</v>
      </c>
      <c r="K107" s="1">
        <v>45520.560150462959</v>
      </c>
      <c r="L107" s="2">
        <v>46</v>
      </c>
      <c r="M107" s="2">
        <f t="shared" si="3"/>
        <v>-16</v>
      </c>
      <c r="N107">
        <v>0</v>
      </c>
      <c r="O107" t="b">
        <f t="shared" si="4"/>
        <v>0</v>
      </c>
      <c r="P107" t="b">
        <f t="shared" si="5"/>
        <v>1</v>
      </c>
    </row>
    <row r="109" spans="1:16" x14ac:dyDescent="0.25">
      <c r="G109" s="2">
        <f>SUMIF(I2:I107,"C",G2:G107)</f>
        <v>2830</v>
      </c>
      <c r="L109" s="3">
        <f>SUM(L2:L107)</f>
        <v>2503</v>
      </c>
    </row>
    <row r="110" spans="1:16" x14ac:dyDescent="0.25">
      <c r="G110" s="2">
        <f>SUMIF(I3:I107,"D",G3:G107)</f>
        <v>365</v>
      </c>
    </row>
    <row r="111" spans="1:16" x14ac:dyDescent="0.25">
      <c r="G111" s="3">
        <f>G109-G110</f>
        <v>2465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 Otávio  Oliveira Capelari</dc:creator>
  <cp:lastModifiedBy>Luís Otávio  Oliveira Capelari</cp:lastModifiedBy>
  <dcterms:created xsi:type="dcterms:W3CDTF">2024-08-26T12:33:26Z</dcterms:created>
  <dcterms:modified xsi:type="dcterms:W3CDTF">2024-08-27T12:57:59Z</dcterms:modified>
</cp:coreProperties>
</file>